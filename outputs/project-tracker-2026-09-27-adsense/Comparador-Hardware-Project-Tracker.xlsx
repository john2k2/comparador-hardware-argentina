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676f351ad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38f1cadb5da44a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dd/mm/yyyy"/>
    <x:numFmt numFmtId="201" formatCode="dd-mmm"/>
  </x:numFmts>
  <x:fonts count="18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sz val="10"/>
      <x:name val="Arial"/>
    </x:font>
    <x:font>
      <x:b/>
      <x:sz val="10"/>
      <x:color rgb="FF5B40B5"/>
      <x:name val="Arial"/>
    </x:font>
    <x:font>
      <x:sz val="10"/>
      <x:color rgb="FF3258C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  <x:fill>
      <x:patternFill patternType="solid">
        <x:fgColor rgb="FFF1E9FF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200" fontId="14" fillId="7" borderId="1" xfId="0" applyNumberFormat="1" applyFont="1" applyFill="1" applyBorder="1" applyAlignment="1">
      <x:alignment horizontal="center" vertical="center"/>
    </x:xf>
    <x:xf numFmtId="200" fontId="14" fillId="4" borderId="1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200" fontId="11" fillId="7" borderId="1" xfId="0" applyNumberFormat="1" applyFont="1" applyFill="1" applyBorder="1" applyAlignment="1">
      <x:alignment horizontal="center" vertical="center"/>
    </x:xf>
    <x:xf numFmtId="201" fontId="10" fillId="6" borderId="1" xfId="0" applyNumberFormat="1" applyFont="1" applyFill="1" applyBorder="1" applyAlignment="1">
      <x:alignment horizontal="center" vertical="center" wrapText="1"/>
    </x:xf>
    <x:xf numFmtId="0" fontId="12" fillId="3" borderId="6" xfId="0" applyNumberFormat="1" applyFont="1" applyFill="1" applyBorder="1" applyAlignment="1">
      <x:alignment horizontal="left" vertical="center" wrapText="1"/>
    </x:xf>
    <x:xf numFmtId="0" fontId="12" fillId="3" borderId="7" xfId="0" applyNumberFormat="1" applyFont="1" applyFill="1" applyBorder="1" applyAlignment="1">
      <x:alignment horizontal="left" vertical="center" wrapText="1"/>
    </x:xf>
    <x:xf numFmtId="0" fontId="12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horizontal="left" vertical="center" wrapText="1"/>
    </x:xf>
    <x:xf numFmtId="0" fontId="12" fillId="3" borderId="10" xfId="0" applyNumberFormat="1" applyFont="1" applyFill="1" applyBorder="1" applyAlignment="1">
      <x:alignment horizontal="left" vertical="center" wrapText="1"/>
    </x:xf>
    <x:xf numFmtId="0" fontId="12" fillId="3" borderId="1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200" fontId="15" fillId="0" borderId="0" xfId="0" applyNumberFormat="1" applyFont="1" applyFill="1" applyBorder="1"/>
    <x:xf numFmtId="0" fontId="16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200" fontId="15" fillId="0" borderId="0" xfId="0" applyNumberFormat="1" applyFont="1" applyFill="1" applyBorder="1" applyAlignment="1">
      <x:alignment horizontal="center"/>
    </x:xf>
    <x:xf numFmtId="200" fontId="17" fillId="0" borderId="0" xfId="0" applyNumberFormat="1" applyFont="1" applyFill="1" applyBorder="1" applyAlignment="1">
      <x:alignment horizontal="center"/>
    </x:xf>
    <x:xf numFmtId="0" fontId="15" fillId="9" borderId="0" xfId="0" applyNumberFormat="1" applyFont="1" applyFill="1" applyBorder="1"/>
    <x:xf numFmtId="167" fontId="0" fillId="0" borderId="0" xfId="0" applyNumberFormat="1" applyFont="1" applyFill="1" applyBorder="1"/>
  </x:cellXfs>
  <x:cellStyles count="1">
    <x:cellStyle name="Normal" xfId="0"/>
  </x:cellStyles>
  <x:dxfs count="22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745C3"/>
      </x:font>
      <x:fill>
        <x:patternFill>
          <x:bgColor rgb="FFF1E9FF"/>
        </x:patternFill>
      </x:fill>
    </x:dxf>
    <x:dxf>
      <x:fill>
        <x:patternFill>
          <x:bgColor rgb="FF00BFA6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A977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5cc35da254ae4" /><Relationship Type="http://schemas.openxmlformats.org/officeDocument/2006/relationships/theme" Target="/xl/theme/theme1.xml" Id="Rdc1dc95295d4482f" /><Relationship Type="http://schemas.openxmlformats.org/officeDocument/2006/relationships/sharedStrings" Target="/xl/sharedStrings.xml" Id="Rdb2717eb663d4c14" /><Relationship Type="http://schemas.openxmlformats.org/officeDocument/2006/relationships/worksheet" Target="/xl/worksheets/sheet1.xml" Id="R38f1cadb5da44ab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9" style="14" customWidth="1"/>
    <x:col min="4" max="4" width="18" style="14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tr">
        <x:v>Seguimiento del proyecto y plan semanal</x:v>
      </x:c>
      <x:c r="C2" s="19" t="str">
        <x:v>Seguimiento del proyecto y plan semanal</x:v>
      </x:c>
      <x:c r="D2" s="19" t="str">
        <x:v>Seguimiento del proyecto y plan semanal</x:v>
      </x:c>
      <x:c r="E2" s="19" t="str">
        <x:v>Seguimiento del proyecto y plan semanal</x:v>
      </x:c>
      <x:c r="F2" s="19" t="str">
        <x:v>Seguimiento del proyecto y plan semanal</x:v>
      </x:c>
      <x:c r="G2" s="19" t="str">
        <x:v>Seguimiento del proyecto y plan semanal</x:v>
      </x:c>
      <x:c r="H2" s="19" t="str">
        <x:v>Seguimiento del proyecto y plan semanal</x:v>
      </x:c>
      <x:c r="I2" s="19" t="str">
        <x:v>Seguimiento del proyecto y plan semanal</x:v>
      </x:c>
      <x:c r="J2" s="19" t="str">
        <x:v>Seguimiento del proyecto y plan semanal</x:v>
      </x:c>
      <x:c r="K2" s="19" t="str">
        <x:v>Seguimiento del proyecto y plan semanal</x:v>
      </x:c>
      <x:c r="L2" s="19" t="str">
        <x:v>Seguimiento del proyecto y plan semanal</x:v>
      </x:c>
      <x:c r="M2" s="19" t="str">
        <x:v>Seguimiento del proyecto y plan semanal</x:v>
      </x:c>
      <x:c r="N2" s="19" t="str">
        <x:v>Seguimiento del proyecto y plan semanal</x:v>
      </x:c>
      <x:c r="O2" s="19" t="str">
        <x:v>Seguimiento del proyecto y plan semanal</x:v>
      </x:c>
      <x:c r="P2" s="19" t="str">
        <x:v>Seguimiento del proyecto y plan semanal</x:v>
      </x:c>
      <x:c r="Q2" s="19" t="str">
        <x:v>Seguimiento del proyecto y plan semanal</x:v>
      </x:c>
      <x:c r="R2" s="19" t="str">
        <x:v>Seguimiento del proyecto y plan semanal</x:v>
      </x:c>
      <x:c r="S2" s="20" t="str">
        <x:v>Seguimiento del proyecto y plan semanal</x:v>
      </x:c>
      <x:c r="T2" s="20" t="str">
        <x:v>Seguimiento del proyecto y plan semanal</x:v>
      </x:c>
      <x:c r="U2" s="20" t="str">
        <x:v>Seguimiento del proyecto y plan semanal</x:v>
      </x:c>
      <x:c r="V2" s="20" t="str">
        <x:v>Seguimiento del proyecto y plan semanal</x:v>
      </x:c>
      <x:c r="W2" s="20" t="str">
        <x:v>Seguimiento del proyecto y plan semanal</x:v>
      </x:c>
      <x:c r="X2" s="20" t="str">
        <x:v>Seguimiento del proyecto y plan semanal</x:v>
      </x:c>
      <x:c r="Y2" s="20" t="str">
        <x:v>Seguimiento del proyecto y plan semanal</x:v>
      </x:c>
      <x:c r="Z2" s="20" t="str">
        <x:v>Seguimiento del proyecto y plan semanal</x:v>
      </x:c>
      <x:c r="AA2" s="20" t="str">
        <x:v>Seguimiento del proyecto y plan semanal</x:v>
      </x:c>
      <x:c r="AB2" s="20" t="str">
        <x:v>Seguimiento del proyecto y plan semanal</x:v>
      </x:c>
      <x:c r="AC2" s="20" t="str">
        <x:v>Seguimiento del proyecto y plan semanal</x:v>
      </x:c>
      <x:c r="AD2" s="20" t="str">
        <x:v>Seguimiento del proyecto y plan semanal</x:v>
      </x:c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tr">
        <x:v>PERFIL DEL PROYECTO</x:v>
      </x:c>
      <x:c r="C4" s="21" t="str">
        <x:v>PERFIL DEL PROYECTO</x:v>
      </x:c>
      <x:c r="D4" s="21" t="str">
        <x:v>PERFIL DEL PROYECTO</x:v>
      </x:c>
      <x:c r="E4" s="21" t="str">
        <x:v>PERFIL DEL PROYECTO</x:v>
      </x:c>
      <x:c r="F4" s="21" t="str">
        <x:v>PERFIL DEL PROYECTO</x:v>
      </x:c>
      <x:c r="G4" s="21" t="str">
        <x:v>PERFIL DEL PROYECTO</x:v>
      </x:c>
      <x:c r="H4" s="21" t="str">
        <x:v>PERFIL DEL PROYECTO</x:v>
      </x:c>
      <x:c r="I4" s="21" t="str">
        <x:v>PERFIL DEL PROYECTO</x:v>
      </x:c>
      <x:c r="J4" s="15"/>
      <x:c r="K4" s="21" t="str">
        <x:v>PULSO DEL PLAN</x:v>
      </x:c>
      <x:c r="L4" s="21" t="str">
        <x:v>PULSO DEL PLAN</x:v>
      </x:c>
      <x:c r="M4" s="21" t="str">
        <x:v>PULSO DEL PLAN</x:v>
      </x:c>
      <x:c r="N4" s="21" t="str">
        <x:v>PULSO DEL PLAN</x:v>
      </x:c>
      <x:c r="O4" s="21" t="str">
        <x:v>PULSO DEL PLAN</x:v>
      </x:c>
      <x:c r="P4" s="21" t="str">
        <x:v>PULSO DEL PLAN</x:v>
      </x:c>
      <x:c r="Q4" s="21" t="str">
        <x:v>PULSO DEL PLAN</x:v>
      </x:c>
      <x:c r="R4" s="21" t="str">
        <x:v>PULSO DEL PLAN</x:v>
      </x:c>
      <x:c r="S4" s="21" t="str">
        <x:v>PULSO DEL PLAN</x:v>
      </x:c>
      <x:c r="T4" s="21" t="str">
        <x:v>PULSO DEL PLAN</x:v>
      </x:c>
      <x:c r="U4" s="21" t="str">
        <x:v>PULSO DEL PLAN</x:v>
      </x:c>
      <x:c r="V4" s="21" t="str">
        <x:v>PULSO DEL PLAN</x:v>
      </x:c>
      <x:c r="W4" s="21" t="str">
        <x:v>PULSO DEL PLAN</x:v>
      </x:c>
      <x:c r="X4" s="21" t="str">
        <x:v>PULSO DEL PLAN</x:v>
      </x:c>
      <x:c r="Y4" s="21" t="str">
        <x:v>PULSO DEL PLAN</x:v>
      </x:c>
      <x:c r="Z4" s="21" t="str">
        <x:v>PULSO DEL PLAN</x:v>
      </x:c>
      <x:c r="AA4" s="21" t="str">
        <x:v>PULSO DEL PLAN</x:v>
      </x:c>
      <x:c r="AB4" s="21" t="str">
        <x:v>PULSO DEL PLAN</x:v>
      </x:c>
      <x:c r="AC4" s="21" t="str">
        <x:v>PULSO DEL PLAN</x:v>
      </x:c>
      <x:c r="AD4" s="21" t="str">
        <x:v>PULSO DEL PLAN</x:v>
      </x:c>
    </x:row>
    <x:row r="5" ht="22" customHeight="1">
      <x:c r="B5" s="18" t="str">
        <x:v>Proyecto</x:v>
      </x:c>
      <x:c r="C5" s="22" t="str">
        <x:v>Comparador Hardware Argentina</x:v>
      </x:c>
      <x:c r="D5" s="22" t="str">
        <x:v>Comparador Hardware Argentina</x:v>
      </x:c>
      <x:c r="E5" s="22" t="str">
        <x:v>Comparador Hardware Argentina</x:v>
      </x:c>
      <x:c r="F5" s="27" t="str">
        <x:v>Responsable</x:v>
      </x:c>
      <x:c r="G5" s="28"/>
      <x:c r="H5" s="23" t="str">
        <x:v>Jonathan Ortiz</x:v>
      </x:c>
      <x:c r="I5" s="23" t="str">
        <x:v>Jonathan Ortiz</x:v>
      </x:c>
      <x:c r="J5" s="15"/>
      <x:c r="K5" s="24" t="str">
        <x:v>TAREAS</x:v>
      </x:c>
      <x:c r="L5" s="25" t="str">
        <x:v>TAREAS</x:v>
      </x:c>
      <x:c r="M5" s="25" t="str">
        <x:v>TAREAS</x:v>
      </x:c>
      <x:c r="N5" s="26" t="str">
        <x:v>TAREAS</x:v>
      </x:c>
      <x:c r="O5" s="24" t="str">
        <x:v>COMPLETADAS</x:v>
      </x:c>
      <x:c r="P5" s="25" t="str">
        <x:v>COMPLETADAS</x:v>
      </x:c>
      <x:c r="Q5" s="25" t="str">
        <x:v>COMPLETADAS</x:v>
      </x:c>
      <x:c r="R5" s="26" t="str">
        <x:v>COMPLETADAS</x:v>
      </x:c>
      <x:c r="S5" s="24" t="str">
        <x:v>EN CURSO</x:v>
      </x:c>
      <x:c r="T5" s="25" t="str">
        <x:v>EN CURSO</x:v>
      </x:c>
      <x:c r="U5" s="25" t="str">
        <x:v>EN CURSO</x:v>
      </x:c>
      <x:c r="V5" s="26" t="str">
        <x:v>EN CURSO</x:v>
      </x:c>
      <x:c r="W5" s="24" t="str">
        <x:v>EN RIESGO</x:v>
      </x:c>
      <x:c r="X5" s="25" t="str">
        <x:v>EN RIESGO</x:v>
      </x:c>
      <x:c r="Y5" s="25" t="str">
        <x:v>EN RIESGO</x:v>
      </x:c>
      <x:c r="Z5" s="26" t="str">
        <x:v>EN RIESGO</x:v>
      </x:c>
      <x:c r="AA5" s="24" t="str">
        <x:v>PRIORIDAD P0</x:v>
      </x:c>
      <x:c r="AB5" s="25" t="str">
        <x:v>PRIORIDAD P0</x:v>
      </x:c>
      <x:c r="AC5" s="25" t="str">
        <x:v>PRIORIDAD P0</x:v>
      </x:c>
      <x:c r="AD5" s="26" t="str">
        <x:v>PRIORIDAD P0</x:v>
      </x:c>
    </x:row>
    <x:row r="6" ht="22" customHeight="1">
      <x:c r="B6" s="18" t="str">
        <x:v>Sitio</x:v>
      </x:c>
      <x:c r="C6" s="23" t="str">
        <x:v>comparador-hardware.com.ar</x:v>
      </x:c>
      <x:c r="D6" s="23" t="str">
        <x:v>comparador-hardware.com.ar</x:v>
      </x:c>
      <x:c r="E6" s="23" t="str">
        <x:v>comparador-hardware.com.ar</x:v>
      </x:c>
      <x:c r="F6" s="27" t="str">
        <x:v>Inicio del plan</x:v>
      </x:c>
      <x:c r="G6" s="28"/>
      <x:c r="H6" s="41" t="n">
        <x:v>46279.5</x:v>
      </x:c>
      <x:c r="I6" s="41" t="n">
        <x:v>46279.5</x:v>
      </x:c>
      <x:c r="J6" s="15"/>
      <x:c r="K6" s="42" t="n">
        <x:f>COUNTA($C$10:$C$49)</x:f>
        <x:v>40</x:v>
      </x:c>
      <x:c r="L6" s="43"/>
      <x:c r="M6" s="43"/>
      <x:c r="N6" s="44"/>
      <x:c r="O6" s="45" t="n">
        <x:f>COUNTIF($E$10:$E$49,"Complete")</x:f>
        <x:v>4</x:v>
      </x:c>
      <x:c r="P6" s="46"/>
      <x:c r="Q6" s="46"/>
      <x:c r="R6" s="47"/>
      <x:c r="S6" s="35" t="n">
        <x:f>COUNTIF($E$10:$E$49,"In Progress")</x:f>
        <x:v>17</x:v>
      </x:c>
      <x:c r="T6" s="36"/>
      <x:c r="U6" s="36"/>
      <x:c r="V6" s="37"/>
      <x:c r="W6" s="38" t="n">
        <x:f>COUNTIF($E$10:$E$49,"At Risk")</x:f>
        <x:v>2</x:v>
      </x:c>
      <x:c r="X6" s="39"/>
      <x:c r="Y6" s="39"/>
      <x:c r="Z6" s="40"/>
      <x:c r="AA6" s="38" t="n">
        <x:f>COUNTIF($F$10:$F$49,"P0")</x:f>
        <x:v>5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tr">
        <x:v>PLAN DE TRABAJO</x:v>
      </x:c>
      <x:c r="C8" s="21" t="str">
        <x:v>PLAN DE TRABAJO</x:v>
      </x:c>
      <x:c r="D8" s="21" t="str">
        <x:v>PLAN DE TRABAJO</x:v>
      </x:c>
      <x:c r="E8" s="21" t="str">
        <x:v>PLAN DE TRABAJO</x:v>
      </x:c>
      <x:c r="F8" s="21" t="str">
        <x:v>PLAN DE TRABAJO</x:v>
      </x:c>
      <x:c r="G8" s="21" t="str">
        <x:v>PLAN DE TRABAJO</x:v>
      </x:c>
      <x:c r="H8" s="21" t="str">
        <x:v>PLAN DE TRABAJO</x:v>
      </x:c>
      <x:c r="I8" s="21" t="str">
        <x:v>PLAN DE TRABAJO</x:v>
      </x:c>
      <x:c r="J8" s="15"/>
      <x:c r="K8" s="21" t="str">
        <x:v>GANTT — 20 SEMANAS</x:v>
      </x:c>
      <x:c r="L8" s="21" t="str">
        <x:v>GANTT — 20 SEMANAS</x:v>
      </x:c>
      <x:c r="M8" s="21" t="str">
        <x:v>GANTT — 20 SEMANAS</x:v>
      </x:c>
      <x:c r="N8" s="21" t="str">
        <x:v>GANTT — 20 SEMANAS</x:v>
      </x:c>
      <x:c r="O8" s="21" t="str">
        <x:v>GANTT — 20 SEMANAS</x:v>
      </x:c>
      <x:c r="P8" s="21" t="str">
        <x:v>GANTT — 20 SEMANAS</x:v>
      </x:c>
      <x:c r="Q8" s="21" t="str">
        <x:v>GANTT — 20 SEMANAS</x:v>
      </x:c>
      <x:c r="R8" s="21" t="str">
        <x:v>GANTT — 20 SEMANAS</x:v>
      </x:c>
      <x:c r="S8" s="21" t="str">
        <x:v>GANTT — 20 SEMANAS</x:v>
      </x:c>
      <x:c r="T8" s="21" t="str">
        <x:v>GANTT — 20 SEMANAS</x:v>
      </x:c>
      <x:c r="U8" s="21" t="str">
        <x:v>GANTT — 20 SEMANAS</x:v>
      </x:c>
      <x:c r="V8" s="21" t="str">
        <x:v>GANTT — 20 SEMANAS</x:v>
      </x:c>
      <x:c r="W8" s="21" t="str">
        <x:v>GANTT — 20 SEMANAS</x:v>
      </x:c>
      <x:c r="X8" s="21" t="str">
        <x:v>GANTT — 20 SEMANAS</x:v>
      </x:c>
      <x:c r="Y8" s="21" t="str">
        <x:v>GANTT — 20 SEMANAS</x:v>
      </x:c>
      <x:c r="Z8" s="21" t="str">
        <x:v>GANTT — 20 SEMANAS</x:v>
      </x:c>
      <x:c r="AA8" s="21" t="str">
        <x:v>GANTT — 20 SEMANAS</x:v>
      </x:c>
      <x:c r="AB8" s="21" t="str">
        <x:v>GANTT — 20 SEMANAS</x:v>
      </x:c>
      <x:c r="AC8" s="21" t="str">
        <x:v>GANTT — 20 SEMANAS</x:v>
      </x:c>
      <x:c r="AD8" s="21" t="str">
        <x:v>GANTT — 20 SEMANAS</x:v>
      </x:c>
    </x:row>
    <x:row r="9" ht="28" customHeight="1">
      <x:c r="B9" s="1" t="str">
        <x:v>Línea de trabajo</x:v>
      </x:c>
      <x:c r="C9" s="1" t="str">
        <x:v>Tarea</x:v>
      </x:c>
      <x:c r="D9" s="1" t="str">
        <x:v>Responsable</x:v>
      </x:c>
      <x:c r="E9" s="1" t="str">
        <x:v>Estado</x:v>
      </x:c>
      <x:c r="F9" s="1" t="str">
        <x:v>Prioridad</x:v>
      </x:c>
      <x:c r="G9" s="1" t="str">
        <x:v>Inicio</x:v>
      </x:c>
      <x:c r="H9" s="1" t="str">
        <x:v>Fin</x:v>
      </x:c>
      <x:c r="I9" s="1" t="str">
        <x:v>Días</x:v>
      </x:c>
      <x:c r="J9" s="15"/>
      <x:c r="K9" s="52" t="n">
        <x:f>$H$6</x:f>
        <x:v>46279.5</x:v>
      </x:c>
      <x:c r="L9" s="52" t="n">
        <x:f t="shared" ref="L9:AD9" si="0">K9+7</x:f>
        <x:v>46286.5</x:v>
      </x:c>
      <x:c r="M9" s="52" t="n">
        <x:f t="shared" si="0">L9+7</x:f>
        <x:v>46293.5</x:v>
      </x:c>
      <x:c r="N9" s="52" t="n">
        <x:f t="shared" si="0">M9+7</x:f>
        <x:v>46300.5</x:v>
      </x:c>
      <x:c r="O9" s="52" t="n">
        <x:f t="shared" si="0">N9+7</x:f>
        <x:v>46307.5</x:v>
      </x:c>
      <x:c r="P9" s="52" t="n">
        <x:f t="shared" si="0">O9+7</x:f>
        <x:v>46314.5</x:v>
      </x:c>
      <x:c r="Q9" s="52" t="n">
        <x:f t="shared" si="0">P9+7</x:f>
        <x:v>46321.5</x:v>
      </x:c>
      <x:c r="R9" s="52" t="n">
        <x:f t="shared" si="0">Q9+7</x:f>
        <x:v>46328.5</x:v>
      </x:c>
      <x:c r="S9" s="52" t="n">
        <x:f t="shared" si="0">R9+7</x:f>
        <x:v>46335.5</x:v>
      </x:c>
      <x:c r="T9" s="52" t="n">
        <x:f t="shared" si="0">S9+7</x:f>
        <x:v>46342.5</x:v>
      </x:c>
      <x:c r="U9" s="52" t="n">
        <x:f t="shared" si="0">T9+7</x:f>
        <x:v>46349.5</x:v>
      </x:c>
      <x:c r="V9" s="52" t="n">
        <x:f t="shared" si="0">U9+7</x:f>
        <x:v>46356.5</x:v>
      </x:c>
      <x:c r="W9" s="52" t="n">
        <x:f t="shared" si="0">V9+7</x:f>
        <x:v>46363.5</x:v>
      </x:c>
      <x:c r="X9" s="52" t="n">
        <x:f t="shared" si="0">W9+7</x:f>
        <x:v>46370.5</x:v>
      </x:c>
      <x:c r="Y9" s="52" t="n">
        <x:f t="shared" si="0">X9+7</x:f>
        <x:v>46377.5</x:v>
      </x:c>
      <x:c r="Z9" s="52" t="n">
        <x:f t="shared" si="0">Y9+7</x:f>
        <x:v>46384.5</x:v>
      </x:c>
      <x:c r="AA9" s="52" t="n">
        <x:f t="shared" si="0">Z9+7</x:f>
        <x:v>46391.5</x:v>
      </x:c>
      <x:c r="AB9" s="52" t="n">
        <x:f t="shared" si="0">AA9+7</x:f>
        <x:v>46398.5</x:v>
      </x:c>
      <x:c r="AC9" s="52" t="n">
        <x:f t="shared" si="0">AB9+7</x:f>
        <x:v>46405.5</x:v>
      </x:c>
      <x:c r="AD9" s="52" t="n">
        <x:f t="shared" si="0">AC9+7</x:f>
        <x:v>46412.5</x:v>
      </x:c>
    </x:row>
    <x:row r="10">
      <x:c r="B10" s="5" t="str">
        <x:v>Disponibilidad</x:v>
      </x:c>
      <x:c r="C10" s="4" t="str">
        <x:v>Medir recursos y cerrar incidente Worker 1102</x:v>
      </x:c>
      <x:c r="D10" s="7" t="str">
        <x:v>Codex</x:v>
      </x:c>
      <x:c r="E10" s="7" t="str">
        <x:v>In Progress</x:v>
      </x:c>
      <x:c r="F10" s="7" t="str">
        <x:v>P0</x:v>
      </x:c>
      <x:c r="G10" s="48" t="n">
        <x:v>46277.5</x:v>
      </x:c>
      <x:c r="H10" s="48" t="n">
        <x:v>46290.5</x:v>
      </x:c>
      <x:c r="I10" s="11" t="n">
        <x:f t="shared" ref="I10:I39" si="1">IF(OR(G10="",H10="",H10&lt;G10),"",H10-G10+1)</x:f>
        <x:v>14</x:v>
      </x:c>
      <x:c r="J10" s="15"/>
      <x:c r="K10" s="12" t="n">
        <x:f t="shared" ref="K10:T19" si="2">IF(OR($G10="",$H10="",$H10&lt;$G10),"",IF(AND(K$9&lt;=$H10,K$9+6&gt;=$G10),1,""))</x:f>
        <x:v>1</x:v>
      </x:c>
      <x:c r="L10" s="13" t="n">
        <x:f t="shared" si="2">IF(OR($G10="",$H10="",$H10&lt;$G10),"",IF(AND(L$9&lt;=$H10,L$9+6&gt;=$G10),1,""))</x:f>
        <x:v>1</x:v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str">
        <x:f t="shared" si="2">IF(OR($G10="",$H10="",$H10&lt;$G10),"",IF(AND(O$9&lt;=$H10,O$9+6&gt;=$G10),1,""))</x:f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>
      <x:c r="B11" s="6" t="str">
        <x:v>Disponibilidad</x:v>
      </x:c>
      <x:c r="C11" s="3" t="str">
        <x:v>Revisar 4 rutas críticas y scheduler cada día</x:v>
      </x:c>
      <x:c r="D11" s="8" t="str">
        <x:v>Codex</x:v>
      </x:c>
      <x:c r="E11" s="8" t="str">
        <x:v>In Progress</x:v>
      </x:c>
      <x:c r="F11" s="8" t="str">
        <x:v>P0</x:v>
      </x:c>
      <x:c r="G11" s="49" t="n">
        <x:v>46278.5</x:v>
      </x:c>
      <x:c r="H11" s="49" t="n">
        <x:v>46304.5</x:v>
      </x:c>
      <x:c r="I11" s="11" t="n">
        <x:f t="shared" si="1">IF(OR(G11="",H11="",H11&lt;G11),"",H11-G11+1)</x:f>
        <x:v>27</x:v>
      </x:c>
      <x:c r="J11" s="15"/>
      <x:c r="K11" s="12" t="n">
        <x:f t="shared" si="2">IF(OR($G11="",$H11="",$H11&lt;$G11),"",IF(AND(K$9&lt;=$H11,K$9+6&gt;=$G11),1,""))</x:f>
        <x:v>1</x:v>
      </x:c>
      <x:c r="L11" s="13" t="n">
        <x:f t="shared" si="2">IF(OR($G11="",$H11="",$H11&lt;$G11),"",IF(AND(L$9&lt;=$H11,L$9+6&gt;=$G11),1,""))</x:f>
        <x:v>1</x:v>
      </x:c>
      <x:c r="M11" s="12" t="n">
        <x:f t="shared" si="2">IF(OR($G11="",$H11="",$H11&lt;$G11),"",IF(AND(M$9&lt;=$H11,M$9+6&gt;=$G11),1,""))</x:f>
        <x:v>1</x:v>
      </x:c>
      <x:c r="N11" s="13" t="n">
        <x:f t="shared" si="2">IF(OR($G11="",$H11="",$H11&lt;$G11),"",IF(AND(N$9&lt;=$H11,N$9+6&gt;=$G11),1,""))</x:f>
        <x:v>1</x:v>
      </x:c>
      <x:c r="O11" s="12" t="str">
        <x:f t="shared" si="2">IF(OR($G11="",$H11="",$H11&lt;$G11),"",IF(AND(O$9&lt;=$H11,O$9+6&gt;=$G11),1,""))</x:f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>
      <x:c r="B12" s="5" t="str">
        <x:v>Catálogo</x:v>
      </x:c>
      <x:c r="C12" s="4" t="str">
        <x:v>Validar refresh útil, persistencia y frescura por tienda</x:v>
      </x:c>
      <x:c r="D12" s="7" t="str">
        <x:v>Codex</x:v>
      </x:c>
      <x:c r="E12" s="7" t="str">
        <x:v>In Progress</x:v>
      </x:c>
      <x:c r="F12" s="7" t="str">
        <x:v>P0</x:v>
      </x:c>
      <x:c r="G12" s="48" t="n">
        <x:v>46278.5</x:v>
      </x:c>
      <x:c r="H12" s="48" t="n">
        <x:v>46298.5</x:v>
      </x:c>
      <x:c r="I12" s="11" t="n">
        <x:f t="shared" si="1">IF(OR(G12="",H12="",H12&lt;G12),"",H12-G12+1)</x:f>
        <x:v>21</x:v>
      </x:c>
      <x:c r="J12" s="15"/>
      <x:c r="K12" s="12" t="n">
        <x:f t="shared" si="2">IF(OR($G12="",$H12="",$H12&lt;$G12),"",IF(AND(K$9&lt;=$H12,K$9+6&gt;=$G12),1,""))</x:f>
        <x:v>1</x:v>
      </x:c>
      <x:c r="L12" s="13" t="n">
        <x:f t="shared" si="2">IF(OR($G12="",$H12="",$H12&lt;$G12),"",IF(AND(L$9&lt;=$H12,L$9+6&gt;=$G12),1,""))</x:f>
        <x:v>1</x:v>
      </x:c>
      <x:c r="M12" s="12" t="n">
        <x:f t="shared" si="2">IF(OR($G12="",$H12="",$H12&lt;$G12),"",IF(AND(M$9&lt;=$H12,M$9+6&gt;=$G12),1,""))</x:f>
        <x:v>1</x:v>
      </x:c>
      <x:c r="N12" s="13" t="str">
        <x:f t="shared" si="2">IF(OR($G12="",$H12="",$H12&lt;$G12),"",IF(AND(N$9&lt;=$H12,N$9+6&gt;=$G12),1,""))</x:f>
      </x:c>
      <x:c r="O12" s="12" t="str">
        <x:f t="shared" si="2">IF(OR($G12="",$H12="",$H12&lt;$G12),"",IF(AND(O$9&lt;=$H12,O$9+6&gt;=$G12),1,""))</x:f>
      </x:c>
      <x:c r="P12" s="13" t="str">
        <x:f t="shared" si="2">IF(OR($G12="",$H12="",$H12&lt;$G12),"",IF(AND(P$9&lt;=$H12,P$9+6&gt;=$G12),1,""))</x:f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>
      <x:c r="B13" s="6" t="str">
        <x:v>Catálogo</x:v>
      </x:c>
      <x:c r="C13" s="3" t="str">
        <x:v>Completar matriz de scrapers y permisos efectivos</x:v>
      </x:c>
      <x:c r="D13" s="8" t="str">
        <x:v>Codex</x:v>
      </x:c>
      <x:c r="E13" s="8" t="str">
        <x:v>Not Started</x:v>
      </x:c>
      <x:c r="F13" s="8" t="str">
        <x:v>P2</x:v>
      </x:c>
      <x:c r="G13" s="49" t="n">
        <x:v>46287.5</x:v>
      </x:c>
      <x:c r="H13" s="49" t="n">
        <x:v>46304.5</x:v>
      </x:c>
      <x:c r="I13" s="11" t="n">
        <x:f t="shared" si="1">IF(OR(G13="",H13="",H13&lt;G13),"",H13-G13+1)</x:f>
        <x:v>18</x:v>
      </x:c>
      <x:c r="J13" s="15"/>
      <x:c r="K13" s="12" t="str">
        <x:f t="shared" si="2">IF(OR($G13="",$H13="",$H13&lt;$G13),"",IF(AND(K$9&lt;=$H13,K$9+6&gt;=$G13),1,""))</x:f>
      </x:c>
      <x:c r="L13" s="13" t="n">
        <x:f t="shared" si="2">IF(OR($G13="",$H13="",$H13&lt;$G13),"",IF(AND(L$9&lt;=$H13,L$9+6&gt;=$G13),1,""))</x:f>
        <x:v>1</x:v>
      </x:c>
      <x:c r="M13" s="12" t="n">
        <x:f t="shared" si="2">IF(OR($G13="",$H13="",$H13&lt;$G13),"",IF(AND(M$9&lt;=$H13,M$9+6&gt;=$G13),1,""))</x:f>
        <x:v>1</x:v>
      </x:c>
      <x:c r="N13" s="13" t="n">
        <x:f t="shared" si="2">IF(OR($G13="",$H13="",$H13&lt;$G13),"",IF(AND(N$9&lt;=$H13,N$9+6&gt;=$G13),1,""))</x:f>
        <x:v>1</x:v>
      </x:c>
      <x:c r="O13" s="12" t="str">
        <x:f t="shared" si="2">IF(OR($G13="",$H13="",$H13&lt;$G13),"",IF(AND(O$9&lt;=$H13,O$9+6&gt;=$G13),1,""))</x:f>
      </x:c>
      <x:c r="P13" s="13" t="str">
        <x:f t="shared" si="2">IF(OR($G13="",$H13="",$H13&lt;$G13),"",IF(AND(P$9&lt;=$H13,P$9+6&gt;=$G13),1,""))</x:f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>
      <x:c r="B14" s="5" t="str">
        <x:v>Catálogo</x:v>
      </x:c>
      <x:c r="C14" s="4" t="str">
        <x:v>Separar ofertas disponibles y agotadas</x:v>
      </x:c>
      <x:c r="D14" s="7" t="str">
        <x:v>Codex</x:v>
      </x:c>
      <x:c r="E14" s="7" t="str">
        <x:v>In Progress</x:v>
      </x:c>
      <x:c r="F14" s="7" t="str">
        <x:v>P1</x:v>
      </x:c>
      <x:c r="G14" s="48" t="n">
        <x:v>46283.5</x:v>
      </x:c>
      <x:c r="H14" s="48" t="n">
        <x:v>46290.5</x:v>
      </x:c>
      <x:c r="I14" s="11" t="n">
        <x:f t="shared" si="1">IF(OR(G14="",H14="",H14&lt;G14),"",H14-G14+1)</x:f>
        <x:v>8</x:v>
      </x:c>
      <x:c r="J14" s="15"/>
      <x:c r="K14" s="12" t="n">
        <x:f t="shared" si="2">IF(OR($G14="",$H14="",$H14&lt;$G14),"",IF(AND(K$9&lt;=$H14,K$9+6&gt;=$G14),1,""))</x:f>
        <x:v>1</x:v>
      </x:c>
      <x:c r="L14" s="13" t="n">
        <x:f t="shared" si="2">IF(OR($G14="",$H14="",$H14&lt;$G14),"",IF(AND(L$9&lt;=$H14,L$9+6&gt;=$G14),1,""))</x:f>
        <x:v>1</x:v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str">
        <x:f t="shared" si="2">IF(OR($G14="",$H14="",$H14&lt;$G14),"",IF(AND(P$9&lt;=$H14,P$9+6&gt;=$G14),1,""))</x:f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>
      <x:c r="B15" s="6" t="str">
        <x:v>Analytics</x:v>
      </x:c>
      <x:c r="C15" s="3" t="str">
        <x:v>Implementar GA4, navegación y generate_lead</x:v>
      </x:c>
      <x:c r="D15" s="8" t="str">
        <x:v>Codex</x:v>
      </x:c>
      <x:c r="E15" s="8" t="str">
        <x:v>Complete</x:v>
      </x:c>
      <x:c r="F15" s="8" t="str">
        <x:v>P1</x:v>
      </x:c>
      <x:c r="G15" s="49" t="n">
        <x:v>46283.5</x:v>
      </x:c>
      <x:c r="H15" s="49" t="n">
        <x:v>46284.5</x:v>
      </x:c>
      <x:c r="I15" s="11" t="n">
        <x:f t="shared" si="1">IF(OR(G15="",H15="",H15&lt;G15),"",H15-G15+1)</x:f>
        <x:v>2</x:v>
      </x:c>
      <x:c r="J15" s="15"/>
      <x:c r="K15" s="12" t="n">
        <x:f t="shared" si="2">IF(OR($G15="",$H15="",$H15&lt;$G15),"",IF(AND(K$9&lt;=$H15,K$9+6&gt;=$G15),1,""))</x:f>
        <x:v>1</x:v>
      </x:c>
      <x:c r="L15" s="13" t="str">
        <x:f t="shared" si="2">IF(OR($G15="",$H15="",$H15&lt;$G15),"",IF(AND(L$9&lt;=$H15,L$9+6&gt;=$G15),1,""))</x:f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str">
        <x:f t="shared" si="2">IF(OR($G15="",$H15="",$H15&lt;$G15),"",IF(AND(P$9&lt;=$H15,P$9+6&gt;=$G15),1,""))</x:f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>
      <x:c r="B16" s="5" t="str">
        <x:v>Analytics</x:v>
      </x:c>
      <x:c r="C16" s="4" t="str">
        <x:v>Confirmar eventos reales en Realtime o DebugView</x:v>
      </x:c>
      <x:c r="D16" s="7" t="str">
        <x:v>Jonathan + Codex</x:v>
      </x:c>
      <x:c r="E16" s="7" t="str">
        <x:v>Complete</x:v>
      </x:c>
      <x:c r="F16" s="7" t="str">
        <x:v>P1</x:v>
      </x:c>
      <x:c r="G16" s="48" t="n">
        <x:v>46284.5</x:v>
      </x:c>
      <x:c r="H16" s="48" t="n">
        <x:v>46286.5</x:v>
      </x:c>
      <x:c r="I16" s="11" t="n">
        <x:f t="shared" si="1">IF(OR(G16="",H16="",H16&lt;G16),"",H16-G16+1)</x:f>
        <x:v>3</x:v>
      </x:c>
      <x:c r="J16" s="15"/>
      <x:c r="K16" s="12" t="n">
        <x:f t="shared" si="2">IF(OR($G16="",$H16="",$H16&lt;$G16),"",IF(AND(K$9&lt;=$H16,K$9+6&gt;=$G16),1,""))</x:f>
        <x:v>1</x:v>
      </x:c>
      <x:c r="L16" s="13" t="n">
        <x:f t="shared" si="2">IF(OR($G16="",$H16="",$H16&lt;$G16),"",IF(AND(L$9&lt;=$H16,L$9+6&gt;=$G16),1,""))</x:f>
        <x:v>1</x:v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str">
        <x:f t="shared" si="2">IF(OR($G16="",$H16="",$H16&lt;$G16),"",IF(AND(P$9&lt;=$H16,P$9+6&gt;=$G16),1,""))</x:f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>
      <x:c r="B17" s="6" t="str">
        <x:v>Analytics</x:v>
      </x:c>
      <x:c r="C17" s="3" t="str">
        <x:v>Validar 14 días de clics externos y dimensión tienda</x:v>
      </x:c>
      <x:c r="D17" s="8" t="str">
        <x:v>Codex</x:v>
      </x:c>
      <x:c r="E17" s="8" t="str">
        <x:v>In Progress</x:v>
      </x:c>
      <x:c r="F17" s="8" t="str">
        <x:v>P0</x:v>
      </x:c>
      <x:c r="G17" s="49" t="n">
        <x:v>46287.5</x:v>
      </x:c>
      <x:c r="H17" s="49" t="n">
        <x:v>46304.5</x:v>
      </x:c>
      <x:c r="I17" s="11" t="n">
        <x:f t="shared" si="1">IF(OR(G17="",H17="",H17&lt;G17),"",H17-G17+1)</x:f>
        <x:v>18</x:v>
      </x:c>
      <x:c r="J17" s="15"/>
      <x:c r="K17" s="12" t="str">
        <x:f t="shared" si="2">IF(OR($G17="",$H17="",$H17&lt;$G17),"",IF(AND(K$9&lt;=$H17,K$9+6&gt;=$G17),1,""))</x:f>
      </x:c>
      <x:c r="L17" s="13" t="n">
        <x:f t="shared" si="2">IF(OR($G17="",$H17="",$H17&lt;$G17),"",IF(AND(L$9&lt;=$H17,L$9+6&gt;=$G17),1,""))</x:f>
        <x:v>1</x:v>
      </x:c>
      <x:c r="M17" s="12" t="n">
        <x:f t="shared" si="2">IF(OR($G17="",$H17="",$H17&lt;$G17),"",IF(AND(M$9&lt;=$H17,M$9+6&gt;=$G17),1,""))</x:f>
        <x:v>1</x:v>
      </x:c>
      <x:c r="N17" s="13" t="n">
        <x:f t="shared" si="2">IF(OR($G17="",$H17="",$H17&lt;$G17),"",IF(AND(N$9&lt;=$H17,N$9+6&gt;=$G17),1,""))</x:f>
        <x:v>1</x:v>
      </x:c>
      <x:c r="O17" s="12" t="str">
        <x:f t="shared" si="2">IF(OR($G17="",$H17="",$H17&lt;$G17),"",IF(AND(O$9&lt;=$H17,O$9+6&gt;=$G17),1,""))</x:f>
      </x:c>
      <x:c r="P17" s="13" t="str">
        <x:f t="shared" si="2">IF(OR($G17="",$H17="",$H17&lt;$G17),"",IF(AND(P$9&lt;=$H17,P$9+6&gt;=$G17),1,""))</x:f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>
      <x:c r="B18" s="5" t="str">
        <x:v>SEO e indexación</x:v>
      </x:c>
      <x:c r="C18" s="4" t="str">
        <x:v>Publicar sitemap resiliente y paginado</x:v>
      </x:c>
      <x:c r="D18" s="7" t="str">
        <x:v>Codex</x:v>
      </x:c>
      <x:c r="E18" s="7" t="str">
        <x:v>Complete</x:v>
      </x:c>
      <x:c r="F18" s="7" t="str">
        <x:v>P1</x:v>
      </x:c>
      <x:c r="G18" s="48" t="n">
        <x:v>46283.5</x:v>
      </x:c>
      <x:c r="H18" s="48" t="n">
        <x:v>46284.5</x:v>
      </x:c>
      <x:c r="I18" s="11" t="n">
        <x:f t="shared" si="1">IF(OR(G18="",H18="",H18&lt;G18),"",H18-G18+1)</x:f>
        <x:v>2</x:v>
      </x:c>
      <x:c r="J18" s="15"/>
      <x:c r="K18" s="12" t="n">
        <x:f t="shared" si="2">IF(OR($G18="",$H18="",$H18&lt;$G18),"",IF(AND(K$9&lt;=$H18,K$9+6&gt;=$G18),1,""))</x:f>
        <x:v>1</x:v>
      </x:c>
      <x:c r="L18" s="13" t="str">
        <x:f t="shared" si="2">IF(OR($G18="",$H18="",$H18&lt;$G18),"",IF(AND(L$9&lt;=$H18,L$9+6&gt;=$G18),1,""))</x:f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str">
        <x:f t="shared" si="2">IF(OR($G18="",$H18="",$H18&lt;$G18),"",IF(AND(P$9&lt;=$H18,P$9+6&gt;=$G18),1,""))</x:f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>
      <x:c r="B19" s="6" t="str">
        <x:v>SEO e indexación</x:v>
      </x:c>
      <x:c r="C19" s="3" t="str">
        <x:v>Confirmar sitemap sostenido sin nuevos 1102</x:v>
      </x:c>
      <x:c r="D19" s="8" t="str">
        <x:v>Codex</x:v>
      </x:c>
      <x:c r="E19" s="8" t="str">
        <x:v>In Progress</x:v>
      </x:c>
      <x:c r="F19" s="8" t="str">
        <x:v>P1</x:v>
      </x:c>
      <x:c r="G19" s="49" t="n">
        <x:v>46284.5</x:v>
      </x:c>
      <x:c r="H19" s="49" t="n">
        <x:v>46290.5</x:v>
      </x:c>
      <x:c r="I19" s="11" t="n">
        <x:f t="shared" si="1">IF(OR(G19="",H19="",H19&lt;G19),"",H19-G19+1)</x:f>
        <x:v>7</x:v>
      </x:c>
      <x:c r="J19" s="15"/>
      <x:c r="K19" s="12" t="n">
        <x:f t="shared" si="2">IF(OR($G19="",$H19="",$H19&lt;$G19),"",IF(AND(K$9&lt;=$H19,K$9+6&gt;=$G19),1,""))</x:f>
        <x:v>1</x:v>
      </x:c>
      <x:c r="L19" s="13" t="n">
        <x:f t="shared" si="2">IF(OR($G19="",$H19="",$H19&lt;$G19),"",IF(AND(L$9&lt;=$H19,L$9+6&gt;=$G19),1,""))</x:f>
        <x:v>1</x:v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str">
        <x:f t="shared" si="2">IF(OR($G19="",$H19="",$H19&lt;$G19),"",IF(AND(P$9&lt;=$H19,P$9+6&gt;=$G19),1,""))</x:f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>
      <x:c r="B20" s="5" t="str">
        <x:v>SEO e indexación</x:v>
      </x:c>
      <x:c r="C20" s="4" t="str">
        <x:v>Comparar Search Console 28 días contra 28 días</x:v>
      </x:c>
      <x:c r="D20" s="7" t="str">
        <x:v>Codex</x:v>
      </x:c>
      <x:c r="E20" s="7" t="str">
        <x:v>In Progress</x:v>
      </x:c>
      <x:c r="F20" s="7" t="str">
        <x:v>P1</x:v>
      </x:c>
      <x:c r="G20" s="48" t="n">
        <x:v>46279.5</x:v>
      </x:c>
      <x:c r="H20" s="48" t="n">
        <x:v>46307.5</x:v>
      </x:c>
      <x:c r="I20" s="11" t="n">
        <x:f t="shared" si="1">IF(OR(G20="",H20="",H20&lt;G20),"",H20-G20+1)</x:f>
        <x:v>29</x:v>
      </x:c>
      <x:c r="J20" s="15"/>
      <x:c r="K20" s="12" t="n">
        <x:f t="shared" ref="K20:T29" si="4">IF(OR($G20="",$H20="",$H20&lt;$G20),"",IF(AND(K$9&lt;=$H20,K$9+6&gt;=$G20),1,""))</x:f>
        <x:v>1</x:v>
      </x:c>
      <x:c r="L20" s="13" t="n">
        <x:f t="shared" si="4">IF(OR($G20="",$H20="",$H20&lt;$G20),"",IF(AND(L$9&lt;=$H20,L$9+6&gt;=$G20),1,""))</x:f>
        <x:v>1</x:v>
      </x:c>
      <x:c r="M20" s="12" t="n">
        <x:f t="shared" si="4">IF(OR($G20="",$H20="",$H20&lt;$G20),"",IF(AND(M$9&lt;=$H20,M$9+6&gt;=$G20),1,""))</x:f>
        <x:v>1</x:v>
      </x:c>
      <x:c r="N20" s="13" t="n">
        <x:f t="shared" si="4">IF(OR($G20="",$H20="",$H20&lt;$G20),"",IF(AND(N$9&lt;=$H20,N$9+6&gt;=$G20),1,""))</x:f>
        <x:v>1</x:v>
      </x:c>
      <x:c r="O20" s="12" t="n">
        <x:f t="shared" si="4">IF(OR($G20="",$H20="",$H20&lt;$G20),"",IF(AND(O$9&lt;=$H20,O$9+6&gt;=$G20),1,""))</x:f>
        <x:v>1</x:v>
      </x:c>
      <x:c r="P20" s="13" t="str">
        <x:f t="shared" si="4">IF(OR($G20="",$H20="",$H20&lt;$G20),"",IF(AND(P$9&lt;=$H20,P$9+6&gt;=$G20),1,""))</x:f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>
      <x:c r="B21" s="6" t="str">
        <x:v>SEO y contenido</x:v>
      </x:c>
      <x:c r="C21" s="3" t="str">
        <x:v>Mejorar página CPU con CTR bajo</x:v>
      </x:c>
      <x:c r="D21" s="8" t="str">
        <x:v>Codex</x:v>
      </x:c>
      <x:c r="E21" s="8" t="str">
        <x:v>Not Started</x:v>
      </x:c>
      <x:c r="F21" s="8" t="str">
        <x:v>P2</x:v>
      </x:c>
      <x:c r="G21" s="49" t="n">
        <x:v>46293.5</x:v>
      </x:c>
      <x:c r="H21" s="49" t="n">
        <x:v>46304.5</x:v>
      </x:c>
      <x:c r="I21" s="11" t="n">
        <x:f t="shared" si="1">IF(OR(G21="",H21="",H21&lt;G21),"",H21-G21+1)</x:f>
        <x:v>12</x:v>
      </x:c>
      <x:c r="J21" s="15"/>
      <x:c r="K21" s="12" t="str">
        <x:f t="shared" si="4">IF(OR($G21="",$H21="",$H21&lt;$G21),"",IF(AND(K$9&lt;=$H21,K$9+6&gt;=$G21),1,""))</x:f>
      </x:c>
      <x:c r="L21" s="13" t="str">
        <x:f t="shared" si="4">IF(OR($G21="",$H21="",$H21&lt;$G21),"",IF(AND(L$9&lt;=$H21,L$9+6&gt;=$G21),1,""))</x:f>
      </x:c>
      <x:c r="M21" s="12" t="n">
        <x:f t="shared" si="4">IF(OR($G21="",$H21="",$H21&lt;$G21),"",IF(AND(M$9&lt;=$H21,M$9+6&gt;=$G21),1,""))</x:f>
        <x:v>1</x:v>
      </x:c>
      <x:c r="N21" s="13" t="n">
        <x:f t="shared" si="4">IF(OR($G21="",$H21="",$H21&lt;$G21),"",IF(AND(N$9&lt;=$H21,N$9+6&gt;=$G21),1,""))</x:f>
        <x:v>1</x:v>
      </x:c>
      <x:c r="O21" s="12" t="str">
        <x:f t="shared" si="4">IF(OR($G21="",$H21="",$H21&lt;$G21),"",IF(AND(O$9&lt;=$H21,O$9+6&gt;=$G21),1,""))</x:f>
      </x:c>
      <x:c r="P21" s="13" t="str">
        <x:f t="shared" si="4">IF(OR($G21="",$H21="",$H21&lt;$G21),"",IF(AND(P$9&lt;=$H21,P$9+6&gt;=$G21),1,""))</x:f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>
      <x:c r="B22" s="5" t="str">
        <x:v>SEO y contenido</x:v>
      </x:c>
      <x:c r="C22" s="4" t="str">
        <x:v>Mejorar página GPU con CTR bajo</x:v>
      </x:c>
      <x:c r="D22" s="7" t="str">
        <x:v>Codex</x:v>
      </x:c>
      <x:c r="E22" s="7" t="str">
        <x:v>Not Started</x:v>
      </x:c>
      <x:c r="F22" s="7" t="str">
        <x:v>P2</x:v>
      </x:c>
      <x:c r="G22" s="48" t="n">
        <x:v>46293.5</x:v>
      </x:c>
      <x:c r="H22" s="48" t="n">
        <x:v>46304.5</x:v>
      </x:c>
      <x:c r="I22" s="11" t="n">
        <x:f t="shared" si="1">IF(OR(G22="",H22="",H22&lt;G22),"",H22-G22+1)</x:f>
        <x:v>12</x:v>
      </x:c>
      <x:c r="J22" s="15"/>
      <x:c r="K22" s="12" t="str">
        <x:f t="shared" si="4">IF(OR($G22="",$H22="",$H22&lt;$G22),"",IF(AND(K$9&lt;=$H22,K$9+6&gt;=$G22),1,""))</x:f>
      </x:c>
      <x:c r="L22" s="13" t="str">
        <x:f t="shared" si="4">IF(OR($G22="",$H22="",$H22&lt;$G22),"",IF(AND(L$9&lt;=$H22,L$9+6&gt;=$G22),1,""))</x:f>
      </x:c>
      <x:c r="M22" s="12" t="n">
        <x:f t="shared" si="4">IF(OR($G22="",$H22="",$H22&lt;$G22),"",IF(AND(M$9&lt;=$H22,M$9+6&gt;=$G22),1,""))</x:f>
        <x:v>1</x:v>
      </x:c>
      <x:c r="N22" s="13" t="n">
        <x:f t="shared" si="4">IF(OR($G22="",$H22="",$H22&lt;$G22),"",IF(AND(N$9&lt;=$H22,N$9+6&gt;=$G22),1,""))</x:f>
        <x:v>1</x:v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str">
        <x:f t="shared" si="4">IF(OR($G22="",$H22="",$H22&lt;$G22),"",IF(AND(Q$9&lt;=$H22,Q$9+6&gt;=$G22),1,""))</x:f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>
      <x:c r="B23" s="6" t="str">
        <x:v>SEO y contenido</x:v>
      </x:c>
      <x:c r="C23" s="3" t="str">
        <x:v>Mejorar guía de PC de dos millones</x:v>
      </x:c>
      <x:c r="D23" s="8" t="str">
        <x:v>Codex</x:v>
      </x:c>
      <x:c r="E23" s="8" t="str">
        <x:v>Not Started</x:v>
      </x:c>
      <x:c r="F23" s="8" t="str">
        <x:v>P2</x:v>
      </x:c>
      <x:c r="G23" s="49" t="n">
        <x:v>46300.5</x:v>
      </x:c>
      <x:c r="H23" s="49" t="n">
        <x:v>46304.5</x:v>
      </x:c>
      <x:c r="I23" s="11" t="n">
        <x:f t="shared" si="1">IF(OR(G23="",H23="",H23&lt;G23),"",H23-G23+1)</x:f>
        <x:v>5</x:v>
      </x:c>
      <x:c r="J23" s="15"/>
      <x:c r="K23" s="12" t="str">
        <x:f t="shared" si="4">IF(OR($G23="",$H23="",$H23&lt;$G23),"",IF(AND(K$9&lt;=$H23,K$9+6&gt;=$G23),1,""))</x:f>
      </x:c>
      <x:c r="L23" s="13" t="str">
        <x:f t="shared" si="4">IF(OR($G23="",$H23="",$H23&lt;$G23),"",IF(AND(L$9&lt;=$H23,L$9+6&gt;=$G23),1,""))</x:f>
      </x:c>
      <x:c r="M23" s="12" t="str">
        <x:f t="shared" si="4">IF(OR($G23="",$H23="",$H23&lt;$G23),"",IF(AND(M$9&lt;=$H23,M$9+6&gt;=$G23),1,""))</x:f>
      </x:c>
      <x:c r="N23" s="13" t="n">
        <x:f t="shared" si="4">IF(OR($G23="",$H23="",$H23&lt;$G23),"",IF(AND(N$9&lt;=$H23,N$9+6&gt;=$G23),1,""))</x:f>
        <x:v>1</x:v>
      </x:c>
      <x:c r="O23" s="12" t="str">
        <x:f t="shared" si="4">IF(OR($G23="",$H23="",$H23&lt;$G23),"",IF(AND(O$9&lt;=$H23,O$9+6&gt;=$G23),1,""))</x:f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>
      <x:c r="B24" s="5" t="str">
        <x:v>GEO y confianza</x:v>
      </x:c>
      <x:c r="C24" s="4" t="str">
        <x:v>Añadir autoría, fuentes y política de correcciones</x:v>
      </x:c>
      <x:c r="D24" s="7" t="str">
        <x:v>Jonathan + Codex</x:v>
      </x:c>
      <x:c r="E24" s="7" t="str">
        <x:v>Not Started</x:v>
      </x:c>
      <x:c r="F24" s="7" t="str">
        <x:v>P2</x:v>
      </x:c>
      <x:c r="G24" s="48" t="n">
        <x:v>46307.5</x:v>
      </x:c>
      <x:c r="H24" s="48" t="n">
        <x:v>46325.5</x:v>
      </x:c>
      <x:c r="I24" s="11" t="n">
        <x:f t="shared" si="1">IF(OR(G24="",H24="",H24&lt;G24),"",H24-G24+1)</x:f>
        <x:v>19</x:v>
      </x:c>
      <x:c r="J24" s="15"/>
      <x:c r="K24" s="12" t="str">
        <x:f t="shared" si="4">IF(OR($G24="",$H24="",$H24&lt;$G24),"",IF(AND(K$9&lt;=$H24,K$9+6&gt;=$G24),1,""))</x:f>
      </x:c>
      <x:c r="L24" s="13" t="str">
        <x:f t="shared" si="4">IF(OR($G24="",$H24="",$H24&lt;$G24),"",IF(AND(L$9&lt;=$H24,L$9+6&gt;=$G24),1,""))</x:f>
      </x:c>
      <x:c r="M24" s="12" t="str">
        <x:f t="shared" si="4">IF(OR($G24="",$H24="",$H24&lt;$G24),"",IF(AND(M$9&lt;=$H24,M$9+6&gt;=$G24),1,""))</x:f>
      </x:c>
      <x:c r="N24" s="13" t="str">
        <x:f t="shared" si="4">IF(OR($G24="",$H24="",$H24&lt;$G24),"",IF(AND(N$9&lt;=$H24,N$9+6&gt;=$G24),1,""))</x:f>
      </x:c>
      <x:c r="O24" s="12" t="n">
        <x:f t="shared" si="4">IF(OR($G24="",$H24="",$H24&lt;$G24),"",IF(AND(O$9&lt;=$H24,O$9+6&gt;=$G24),1,""))</x:f>
        <x:v>1</x:v>
      </x:c>
      <x:c r="P24" s="13" t="n">
        <x:f t="shared" si="4">IF(OR($G24="",$H24="",$H24&lt;$G24),"",IF(AND(P$9&lt;=$H24,P$9+6&gt;=$G24),1,""))</x:f>
        <x:v>1</x:v>
      </x:c>
      <x:c r="Q24" s="12" t="n">
        <x:f t="shared" si="4">IF(OR($G24="",$H24="",$H24&lt;$G24),"",IF(AND(Q$9&lt;=$H24,Q$9+6&gt;=$G24),1,""))</x:f>
        <x:v>1</x:v>
      </x:c>
      <x:c r="R24" s="13" t="str">
        <x:f t="shared" si="4">IF(OR($G24="",$H24="",$H24&lt;$G24),"",IF(AND(R$9&lt;=$H24,R$9+6&gt;=$G24),1,""))</x:f>
      </x:c>
      <x:c r="S24" s="12" t="str">
        <x:f t="shared" si="4">IF(OR($G24="",$H24="",$H24&lt;$G24),"",IF(AND(S$9&lt;=$H24,S$9+6&gt;=$G24),1,""))</x:f>
      </x:c>
      <x:c r="T24" s="13" t="str">
        <x:f t="shared" si="4">IF(OR($G24="",$H24="",$H24&lt;$G24),"",IF(AND(T$9&lt;=$H24,T$9+6&gt;=$G24),1,""))</x:f>
      </x:c>
      <x:c r="U24" s="12" t="str">
        <x:f t="shared" si="5">IF(OR($G24="",$H24="",$H24&lt;$G24),"",IF(AND(U$9&lt;=$H24,U$9+6&gt;=$G24),1,""))</x:f>
      </x:c>
      <x:c r="V24" s="13" t="str">
        <x:f t="shared" si="5">IF(OR($G24="",$H24="",$H24&lt;$G24),"",IF(AND(V$9&lt;=$H24,V$9+6&gt;=$G24),1,""))</x:f>
      </x:c>
      <x:c r="W24" s="12" t="str">
        <x:f t="shared" si="5">IF(OR($G24="",$H24="",$H24&lt;$G24),"",IF(AND(W$9&lt;=$H24,W$9+6&gt;=$G24),1,""))</x:f>
      </x:c>
      <x:c r="X24" s="13" t="str">
        <x:f t="shared" si="5">IF(OR($G24="",$H24="",$H24&lt;$G24),"",IF(AND(X$9&lt;=$H24,X$9+6&gt;=$G24),1,""))</x:f>
      </x:c>
      <x:c r="Y24" s="12" t="str">
        <x:f t="shared" si="5">IF(OR($G24="",$H24="",$H24&lt;$G24),"",IF(AND(Y$9&lt;=$H24,Y$9+6&gt;=$G24),1,""))</x:f>
      </x:c>
      <x:c r="Z24" s="13" t="str">
        <x:f t="shared" si="5">IF(OR($G24="",$H24="",$H24&lt;$G24),"",IF(AND(Z$9&lt;=$H24,Z$9+6&gt;=$G24),1,""))</x:f>
      </x:c>
      <x:c r="AA24" s="12" t="str">
        <x:f t="shared" si="5">IF(OR($G24="",$H24="",$H24&lt;$G24),"",IF(AND(AA$9&lt;=$H24,AA$9+6&gt;=$G24),1,""))</x:f>
      </x:c>
      <x:c r="AB24" s="13" t="str">
        <x:f t="shared" si="5">IF(OR($G24="",$H24="",$H24&lt;$G24),"",IF(AND(AB$9&lt;=$H24,AB$9+6&gt;=$G24),1,""))</x:f>
      </x:c>
      <x:c r="AC24" s="12" t="str">
        <x:f t="shared" si="5">IF(OR($G24="",$H24="",$H24&lt;$G24),"",IF(AND(AC$9&lt;=$H24,AC$9+6&gt;=$G24),1,""))</x:f>
      </x:c>
      <x:c r="AD24" s="13" t="str">
        <x:f t="shared" si="5">IF(OR($G24="",$H24="",$H24&lt;$G24),"",IF(AND(AD$9&lt;=$H24,AD$9+6&gt;=$G24),1,""))</x:f>
      </x:c>
    </x:row>
    <x:row r="25">
      <x:c r="B25" s="6" t="str">
        <x:v>UX y medición</x:v>
      </x:c>
      <x:c r="C25" s="3" t="str">
        <x:v>Corregir estado visible y eventos de filtros</x:v>
      </x:c>
      <x:c r="D25" s="8" t="str">
        <x:v>Codex</x:v>
      </x:c>
      <x:c r="E25" s="8" t="str">
        <x:v>In Progress</x:v>
      </x:c>
      <x:c r="F25" s="8" t="str">
        <x:v>P2</x:v>
      </x:c>
      <x:c r="G25" s="49" t="n">
        <x:v>46283.5</x:v>
      </x:c>
      <x:c r="H25" s="49" t="n">
        <x:v>46304.5</x:v>
      </x:c>
      <x:c r="I25" s="11" t="n">
        <x:f t="shared" si="1">IF(OR(G25="",H25="",H25&lt;G25),"",H25-G25+1)</x:f>
        <x:v>22</x:v>
      </x:c>
      <x:c r="J25" s="15"/>
      <x:c r="K25" s="12" t="n">
        <x:f t="shared" si="4">IF(OR($G25="",$H25="",$H25&lt;$G25),"",IF(AND(K$9&lt;=$H25,K$9+6&gt;=$G25),1,""))</x:f>
        <x:v>1</x:v>
      </x:c>
      <x:c r="L25" s="13" t="n">
        <x:f t="shared" si="4">IF(OR($G25="",$H25="",$H25&lt;$G25),"",IF(AND(L$9&lt;=$H25,L$9+6&gt;=$G25),1,""))</x:f>
        <x:v>1</x:v>
      </x:c>
      <x:c r="M25" s="12" t="n">
        <x:f t="shared" si="4">IF(OR($G25="",$H25="",$H25&lt;$G25),"",IF(AND(M$9&lt;=$H25,M$9+6&gt;=$G25),1,""))</x:f>
        <x:v>1</x:v>
      </x:c>
      <x:c r="N25" s="13" t="n">
        <x:f t="shared" si="4">IF(OR($G25="",$H25="",$H25&lt;$G25),"",IF(AND(N$9&lt;=$H25,N$9+6&gt;=$G25),1,""))</x:f>
        <x:v>1</x:v>
      </x:c>
      <x:c r="O25" s="12" t="str">
        <x:f t="shared" si="4">IF(OR($G25="",$H25="",$H25&lt;$G25),"",IF(AND(O$9&lt;=$H25,O$9+6&gt;=$G25),1,""))</x:f>
      </x:c>
      <x:c r="P25" s="13" t="str">
        <x:f t="shared" si="4">IF(OR($G25="",$H25="",$H25&lt;$G25),"",IF(AND(P$9&lt;=$H25,P$9+6&gt;=$G25),1,""))</x:f>
      </x:c>
      <x:c r="Q25" s="12" t="str">
        <x:f t="shared" si="4">IF(OR($G25="",$H25="",$H25&lt;$G25),"",IF(AND(Q$9&lt;=$H25,Q$9+6&gt;=$G25),1,""))</x:f>
      </x:c>
      <x:c r="R25" s="13" t="str">
        <x:f t="shared" si="4">IF(OR($G25="",$H25="",$H25&lt;$G25),"",IF(AND(R$9&lt;=$H25,R$9+6&gt;=$G25),1,""))</x:f>
      </x:c>
      <x:c r="S25" s="12" t="str">
        <x:f t="shared" si="4">IF(OR($G25="",$H25="",$H25&lt;$G25),"",IF(AND(S$9&lt;=$H25,S$9+6&gt;=$G25),1,""))</x:f>
      </x:c>
      <x:c r="T25" s="13" t="str">
        <x:f t="shared" si="4">IF(OR($G25="",$H25="",$H25&lt;$G25),"",IF(AND(T$9&lt;=$H25,T$9+6&gt;=$G25),1,""))</x:f>
      </x:c>
      <x:c r="U25" s="12" t="str">
        <x:f t="shared" si="5">IF(OR($G25="",$H25="",$H25&lt;$G25),"",IF(AND(U$9&lt;=$H25,U$9+6&gt;=$G25),1,""))</x:f>
      </x:c>
      <x:c r="V25" s="13" t="str">
        <x:f t="shared" si="5">IF(OR($G25="",$H25="",$H25&lt;$G25),"",IF(AND(V$9&lt;=$H25,V$9+6&gt;=$G25),1,""))</x:f>
      </x:c>
      <x:c r="W25" s="12" t="str">
        <x:f t="shared" si="5">IF(OR($G25="",$H25="",$H25&lt;$G25),"",IF(AND(W$9&lt;=$H25,W$9+6&gt;=$G25),1,""))</x:f>
      </x:c>
      <x:c r="X25" s="13" t="str">
        <x:f t="shared" si="5">IF(OR($G25="",$H25="",$H25&lt;$G25),"",IF(AND(X$9&lt;=$H25,X$9+6&gt;=$G25),1,""))</x:f>
      </x:c>
      <x:c r="Y25" s="12" t="str">
        <x:f t="shared" si="5">IF(OR($G25="",$H25="",$H25&lt;$G25),"",IF(AND(Y$9&lt;=$H25,Y$9+6&gt;=$G25),1,""))</x:f>
      </x:c>
      <x:c r="Z25" s="13" t="str">
        <x:f t="shared" si="5">IF(OR($G25="",$H25="",$H25&lt;$G25),"",IF(AND(Z$9&lt;=$H25,Z$9+6&gt;=$G25),1,""))</x:f>
      </x:c>
      <x:c r="AA25" s="12" t="str">
        <x:f t="shared" si="5">IF(OR($G25="",$H25="",$H25&lt;$G25),"",IF(AND(AA$9&lt;=$H25,AA$9+6&gt;=$G25),1,""))</x:f>
      </x:c>
      <x:c r="AB25" s="13" t="str">
        <x:f t="shared" si="5">IF(OR($G25="",$H25="",$H25&lt;$G25),"",IF(AND(AB$9&lt;=$H25,AB$9+6&gt;=$G25),1,""))</x:f>
      </x:c>
      <x:c r="AC25" s="12" t="str">
        <x:f t="shared" si="5">IF(OR($G25="",$H25="",$H25&lt;$G25),"",IF(AND(AC$9&lt;=$H25,AC$9+6&gt;=$G25),1,""))</x:f>
      </x:c>
      <x:c r="AD25" s="13" t="str">
        <x:f t="shared" si="5">IF(OR($G25="",$H25="",$H25&lt;$G25),"",IF(AND(AD$9&lt;=$H25,AD$9+6&gt;=$G25),1,""))</x:f>
      </x:c>
    </x:row>
    <x:row r="26">
      <x:c r="B26" s="5" t="str">
        <x:v>Calidad</x:v>
      </x:c>
      <x:c r="C26" s="4" t="str">
        <x:v>Completar y guardar una ejecución E2E completa</x:v>
      </x:c>
      <x:c r="D26" s="7" t="str">
        <x:v>Codex</x:v>
      </x:c>
      <x:c r="E26" s="7" t="str">
        <x:v>In Progress</x:v>
      </x:c>
      <x:c r="F26" s="7" t="str">
        <x:v>P2</x:v>
      </x:c>
      <x:c r="G26" s="48" t="n">
        <x:v>46283.5</x:v>
      </x:c>
      <x:c r="H26" s="48" t="n">
        <x:v>46290.5</x:v>
      </x:c>
      <x:c r="I26" s="11" t="n">
        <x:f t="shared" si="1">IF(OR(G26="",H26="",H26&lt;G26),"",H26-G26+1)</x:f>
        <x:v>8</x:v>
      </x:c>
      <x:c r="J26" s="15"/>
      <x:c r="K26" s="12" t="n">
        <x:f t="shared" si="4">IF(OR($G26="",$H26="",$H26&lt;$G26),"",IF(AND(K$9&lt;=$H26,K$9+6&gt;=$G26),1,""))</x:f>
        <x:v>1</x:v>
      </x:c>
      <x:c r="L26" s="13" t="n">
        <x:f t="shared" si="4">IF(OR($G26="",$H26="",$H26&lt;$G26),"",IF(AND(L$9&lt;=$H26,L$9+6&gt;=$G26),1,""))</x:f>
        <x:v>1</x:v>
      </x:c>
      <x:c r="M26" s="12" t="str">
        <x:f t="shared" si="4">IF(OR($G26="",$H26="",$H26&lt;$G26),"",IF(AND(M$9&lt;=$H26,M$9+6&gt;=$G26),1,""))</x:f>
      </x:c>
      <x:c r="N26" s="13" t="str">
        <x:f t="shared" si="4">IF(OR($G26="",$H26="",$H26&lt;$G26),"",IF(AND(N$9&lt;=$H26,N$9+6&gt;=$G26),1,""))</x:f>
      </x:c>
      <x:c r="O26" s="12" t="str">
        <x:f t="shared" si="4">IF(OR($G26="",$H26="",$H26&lt;$G26),"",IF(AND(O$9&lt;=$H26,O$9+6&gt;=$G26),1,""))</x:f>
      </x:c>
      <x:c r="P26" s="13" t="str">
        <x:f t="shared" si="4">IF(OR($G26="",$H26="",$H26&lt;$G26),"",IF(AND(P$9&lt;=$H26,P$9+6&gt;=$G26),1,""))</x:f>
      </x:c>
      <x:c r="Q26" s="12" t="str">
        <x:f t="shared" si="4">IF(OR($G26="",$H26="",$H26&lt;$G26),"",IF(AND(Q$9&lt;=$H26,Q$9+6&gt;=$G26),1,""))</x:f>
      </x:c>
      <x:c r="R26" s="13" t="str">
        <x:f t="shared" si="4">IF(OR($G26="",$H26="",$H26&lt;$G26),"",IF(AND(R$9&lt;=$H26,R$9+6&gt;=$G26),1,""))</x:f>
      </x:c>
      <x:c r="S26" s="12" t="str">
        <x:f t="shared" si="4">IF(OR($G26="",$H26="",$H26&lt;$G26),"",IF(AND(S$9&lt;=$H26,S$9+6&gt;=$G26),1,""))</x:f>
      </x:c>
      <x:c r="T26" s="13" t="str">
        <x:f t="shared" si="4">IF(OR($G26="",$H26="",$H26&lt;$G26),"",IF(AND(T$9&lt;=$H26,T$9+6&gt;=$G26),1,""))</x:f>
      </x:c>
      <x:c r="U26" s="12" t="str">
        <x:f t="shared" si="5">IF(OR($G26="",$H26="",$H26&lt;$G26),"",IF(AND(U$9&lt;=$H26,U$9+6&gt;=$G26),1,""))</x:f>
      </x:c>
      <x:c r="V26" s="13" t="str">
        <x:f t="shared" si="5">IF(OR($G26="",$H26="",$H26&lt;$G26),"",IF(AND(V$9&lt;=$H26,V$9+6&gt;=$G26),1,""))</x:f>
      </x:c>
      <x:c r="W26" s="12" t="str">
        <x:f t="shared" si="5">IF(OR($G26="",$H26="",$H26&lt;$G26),"",IF(AND(W$9&lt;=$H26,W$9+6&gt;=$G26),1,""))</x:f>
      </x:c>
      <x:c r="X26" s="13" t="str">
        <x:f t="shared" si="5">IF(OR($G26="",$H26="",$H26&lt;$G26),"",IF(AND(X$9&lt;=$H26,X$9+6&gt;=$G26),1,""))</x:f>
      </x:c>
      <x:c r="Y26" s="12" t="str">
        <x:f t="shared" si="5">IF(OR($G26="",$H26="",$H26&lt;$G26),"",IF(AND(Y$9&lt;=$H26,Y$9+6&gt;=$G26),1,""))</x:f>
      </x:c>
      <x:c r="Z26" s="13" t="str">
        <x:f t="shared" si="5">IF(OR($G26="",$H26="",$H26&lt;$G26),"",IF(AND(Z$9&lt;=$H26,Z$9+6&gt;=$G26),1,""))</x:f>
      </x:c>
      <x:c r="AA26" s="12" t="str">
        <x:f t="shared" si="5">IF(OR($G26="",$H26="",$H26&lt;$G26),"",IF(AND(AA$9&lt;=$H26,AA$9+6&gt;=$G26),1,""))</x:f>
      </x:c>
      <x:c r="AB26" s="13" t="str">
        <x:f t="shared" si="5">IF(OR($G26="",$H26="",$H26&lt;$G26),"",IF(AND(AB$9&lt;=$H26,AB$9+6&gt;=$G26),1,""))</x:f>
      </x:c>
      <x:c r="AC26" s="12" t="str">
        <x:f t="shared" si="5">IF(OR($G26="",$H26="",$H26&lt;$G26),"",IF(AND(AC$9&lt;=$H26,AC$9+6&gt;=$G26),1,""))</x:f>
      </x:c>
      <x:c r="AD26" s="13" t="str">
        <x:f t="shared" si="5">IF(OR($G26="",$H26="",$H26&lt;$G26),"",IF(AND(AD$9&lt;=$H26,AD$9+6&gt;=$G26),1,""))</x:f>
      </x:c>
    </x:row>
    <x:row r="27">
      <x:c r="B27" s="6" t="str">
        <x:v>Confiabilidad</x:v>
      </x:c>
      <x:c r="C27" s="3" t="str">
        <x:v>Optimizar consultas DB-first que agotan tiempo</x:v>
      </x:c>
      <x:c r="D27" s="8" t="str">
        <x:v>Codex</x:v>
      </x:c>
      <x:c r="E27" s="8" t="str">
        <x:v>At Risk</x:v>
      </x:c>
      <x:c r="F27" s="8" t="str">
        <x:v>P0</x:v>
      </x:c>
      <x:c r="G27" s="49" t="n">
        <x:v>46284.5</x:v>
      </x:c>
      <x:c r="H27" s="49" t="n">
        <x:v>46291.5</x:v>
      </x:c>
      <x:c r="I27" s="11" t="n">
        <x:f t="shared" si="1">IF(OR(G27="",H27="",H27&lt;G27),"",H27-G27+1)</x:f>
        <x:v>8</x:v>
      </x:c>
      <x:c r="J27" s="15"/>
      <x:c r="K27" s="12" t="n">
        <x:f t="shared" si="4">IF(OR($G27="",$H27="",$H27&lt;$G27),"",IF(AND(K$9&lt;=$H27,K$9+6&gt;=$G27),1,""))</x:f>
        <x:v>1</x:v>
      </x:c>
      <x:c r="L27" s="13" t="n">
        <x:f t="shared" si="4">IF(OR($G27="",$H27="",$H27&lt;$G27),"",IF(AND(L$9&lt;=$H27,L$9+6&gt;=$G27),1,""))</x:f>
        <x:v>1</x:v>
      </x:c>
      <x:c r="M27" s="12" t="str">
        <x:f t="shared" si="4">IF(OR($G27="",$H27="",$H27&lt;$G27),"",IF(AND(M$9&lt;=$H27,M$9+6&gt;=$G27),1,""))</x:f>
      </x:c>
      <x:c r="N27" s="13" t="str">
        <x:f t="shared" si="4">IF(OR($G27="",$H27="",$H27&lt;$G27),"",IF(AND(N$9&lt;=$H27,N$9+6&gt;=$G27),1,""))</x:f>
      </x:c>
      <x:c r="O27" s="12" t="str">
        <x:f t="shared" si="4">IF(OR($G27="",$H27="",$H27&lt;$G27),"",IF(AND(O$9&lt;=$H27,O$9+6&gt;=$G27),1,""))</x:f>
      </x:c>
      <x:c r="P27" s="13" t="str">
        <x:f t="shared" si="4">IF(OR($G27="",$H27="",$H27&lt;$G27),"",IF(AND(P$9&lt;=$H27,P$9+6&gt;=$G27),1,""))</x:f>
      </x:c>
      <x:c r="Q27" s="12" t="str">
        <x:f t="shared" si="4">IF(OR($G27="",$H27="",$H27&lt;$G27),"",IF(AND(Q$9&lt;=$H27,Q$9+6&gt;=$G27),1,""))</x:f>
      </x:c>
      <x:c r="R27" s="13" t="str">
        <x:f t="shared" si="4">IF(OR($G27="",$H27="",$H27&lt;$G27),"",IF(AND(R$9&lt;=$H27,R$9+6&gt;=$G27),1,""))</x:f>
      </x:c>
      <x:c r="S27" s="12" t="str">
        <x:f t="shared" si="4">IF(OR($G27="",$H27="",$H27&lt;$G27),"",IF(AND(S$9&lt;=$H27,S$9+6&gt;=$G27),1,""))</x:f>
      </x:c>
      <x:c r="T27" s="13" t="str">
        <x:f t="shared" si="4">IF(OR($G27="",$H27="",$H27&lt;$G27),"",IF(AND(T$9&lt;=$H27,T$9+6&gt;=$G27),1,""))</x:f>
      </x:c>
      <x:c r="U27" s="12" t="str">
        <x:f t="shared" si="5">IF(OR($G27="",$H27="",$H27&lt;$G27),"",IF(AND(U$9&lt;=$H27,U$9+6&gt;=$G27),1,""))</x:f>
      </x:c>
      <x:c r="V27" s="13" t="str">
        <x:f t="shared" si="5">IF(OR($G27="",$H27="",$H27&lt;$G27),"",IF(AND(V$9&lt;=$H27,V$9+6&gt;=$G27),1,""))</x:f>
      </x:c>
      <x:c r="W27" s="12" t="str">
        <x:f t="shared" si="5">IF(OR($G27="",$H27="",$H27&lt;$G27),"",IF(AND(W$9&lt;=$H27,W$9+6&gt;=$G27),1,""))</x:f>
      </x:c>
      <x:c r="X27" s="13" t="str">
        <x:f t="shared" si="5">IF(OR($G27="",$H27="",$H27&lt;$G27),"",IF(AND(X$9&lt;=$H27,X$9+6&gt;=$G27),1,""))</x:f>
      </x:c>
      <x:c r="Y27" s="12" t="str">
        <x:f t="shared" si="5">IF(OR($G27="",$H27="",$H27&lt;$G27),"",IF(AND(Y$9&lt;=$H27,Y$9+6&gt;=$G27),1,""))</x:f>
      </x:c>
      <x:c r="Z27" s="13" t="str">
        <x:f t="shared" si="5">IF(OR($G27="",$H27="",$H27&lt;$G27),"",IF(AND(Z$9&lt;=$H27,Z$9+6&gt;=$G27),1,""))</x:f>
      </x:c>
      <x:c r="AA27" s="12" t="str">
        <x:f t="shared" si="5">IF(OR($G27="",$H27="",$H27&lt;$G27),"",IF(AND(AA$9&lt;=$H27,AA$9+6&gt;=$G27),1,""))</x:f>
      </x:c>
      <x:c r="AB27" s="13" t="str">
        <x:f t="shared" si="5">IF(OR($G27="",$H27="",$H27&lt;$G27),"",IF(AND(AB$9&lt;=$H27,AB$9+6&gt;=$G27),1,""))</x:f>
      </x:c>
      <x:c r="AC27" s="12" t="str">
        <x:f t="shared" si="5">IF(OR($G27="",$H27="",$H27&lt;$G27),"",IF(AND(AC$9&lt;=$H27,AC$9+6&gt;=$G27),1,""))</x:f>
      </x:c>
      <x:c r="AD27" s="13" t="str">
        <x:f t="shared" si="5">IF(OR($G27="",$H27="",$H27&lt;$G27),"",IF(AND(AD$9&lt;=$H27,AD$9+6&gt;=$G27),1,""))</x:f>
      </x:c>
    </x:row>
    <x:row r="28">
      <x:c r="B28" s="5" t="str">
        <x:v>Confiabilidad</x:v>
      </x:c>
      <x:c r="C28" s="4" t="str">
        <x:v>Revisar dependencias y compatibilidad OpenNext</x:v>
      </x:c>
      <x:c r="D28" s="7" t="str">
        <x:v>Codex</x:v>
      </x:c>
      <x:c r="E28" s="7" t="str">
        <x:v>At Risk</x:v>
      </x:c>
      <x:c r="F28" s="7" t="str">
        <x:v>P2</x:v>
      </x:c>
      <x:c r="G28" s="48" t="n">
        <x:v>46286.5</x:v>
      </x:c>
      <x:c r="H28" s="48" t="n">
        <x:v>46297.5</x:v>
      </x:c>
      <x:c r="I28" s="11" t="n">
        <x:f t="shared" si="1">IF(OR(G28="",H28="",H28&lt;G28),"",H28-G28+1)</x:f>
        <x:v>12</x:v>
      </x:c>
      <x:c r="J28" s="15"/>
      <x:c r="K28" s="12" t="str">
        <x:f t="shared" si="4">IF(OR($G28="",$H28="",$H28&lt;$G28),"",IF(AND(K$9&lt;=$H28,K$9+6&gt;=$G28),1,""))</x:f>
      </x:c>
      <x:c r="L28" s="13" t="n">
        <x:f t="shared" si="4">IF(OR($G28="",$H28="",$H28&lt;$G28),"",IF(AND(L$9&lt;=$H28,L$9+6&gt;=$G28),1,""))</x:f>
        <x:v>1</x:v>
      </x:c>
      <x:c r="M28" s="12" t="n">
        <x:f t="shared" si="4">IF(OR($G28="",$H28="",$H28&lt;$G28),"",IF(AND(M$9&lt;=$H28,M$9+6&gt;=$G28),1,""))</x:f>
        <x:v>1</x:v>
      </x:c>
      <x:c r="N28" s="13" t="str">
        <x:f t="shared" si="4">IF(OR($G28="",$H28="",$H28&lt;$G28),"",IF(AND(N$9&lt;=$H28,N$9+6&gt;=$G28),1,""))</x:f>
      </x:c>
      <x:c r="O28" s="12" t="str">
        <x:f t="shared" si="4">IF(OR($G28="",$H28="",$H28&lt;$G28),"",IF(AND(O$9&lt;=$H28,O$9+6&gt;=$G28),1,""))</x:f>
      </x:c>
      <x:c r="P28" s="13" t="str">
        <x:f t="shared" si="4">IF(OR($G28="",$H28="",$H28&lt;$G28),"",IF(AND(P$9&lt;=$H28,P$9+6&gt;=$G28),1,""))</x:f>
      </x:c>
      <x:c r="Q28" s="12" t="str">
        <x:f t="shared" si="4">IF(OR($G28="",$H28="",$H28&lt;$G28),"",IF(AND(Q$9&lt;=$H28,Q$9+6&gt;=$G28),1,""))</x:f>
      </x:c>
      <x:c r="R28" s="13" t="str">
        <x:f t="shared" si="4">IF(OR($G28="",$H28="",$H28&lt;$G28),"",IF(AND(R$9&lt;=$H28,R$9+6&gt;=$G28),1,""))</x:f>
      </x:c>
      <x:c r="S28" s="12" t="str">
        <x:f t="shared" si="4">IF(OR($G28="",$H28="",$H28&lt;$G28),"",IF(AND(S$9&lt;=$H28,S$9+6&gt;=$G28),1,""))</x:f>
      </x:c>
      <x:c r="T28" s="13" t="str">
        <x:f t="shared" si="4">IF(OR($G28="",$H28="",$H28&lt;$G28),"",IF(AND(T$9&lt;=$H28,T$9+6&gt;=$G28),1,""))</x:f>
      </x:c>
      <x:c r="U28" s="12" t="str">
        <x:f t="shared" si="5">IF(OR($G28="",$H28="",$H28&lt;$G28),"",IF(AND(U$9&lt;=$H28,U$9+6&gt;=$G28),1,""))</x:f>
      </x:c>
      <x:c r="V28" s="13" t="str">
        <x:f t="shared" si="5">IF(OR($G28="",$H28="",$H28&lt;$G28),"",IF(AND(V$9&lt;=$H28,V$9+6&gt;=$G28),1,""))</x:f>
      </x:c>
      <x:c r="W28" s="12" t="str">
        <x:f t="shared" si="5">IF(OR($G28="",$H28="",$H28&lt;$G28),"",IF(AND(W$9&lt;=$H28,W$9+6&gt;=$G28),1,""))</x:f>
      </x:c>
      <x:c r="X28" s="13" t="str">
        <x:f t="shared" si="5">IF(OR($G28="",$H28="",$H28&lt;$G28),"",IF(AND(X$9&lt;=$H28,X$9+6&gt;=$G28),1,""))</x:f>
      </x:c>
      <x:c r="Y28" s="12" t="str">
        <x:f t="shared" si="5">IF(OR($G28="",$H28="",$H28&lt;$G28),"",IF(AND(Y$9&lt;=$H28,Y$9+6&gt;=$G28),1,""))</x:f>
      </x:c>
      <x:c r="Z28" s="13" t="str">
        <x:f t="shared" si="5">IF(OR($G28="",$H28="",$H28&lt;$G28),"",IF(AND(Z$9&lt;=$H28,Z$9+6&gt;=$G28),1,""))</x:f>
      </x:c>
      <x:c r="AA28" s="12" t="str">
        <x:f t="shared" si="5">IF(OR($G28="",$H28="",$H28&lt;$G28),"",IF(AND(AA$9&lt;=$H28,AA$9+6&gt;=$G28),1,""))</x:f>
      </x:c>
      <x:c r="AB28" s="13" t="str">
        <x:f t="shared" si="5">IF(OR($G28="",$H28="",$H28&lt;$G28),"",IF(AND(AB$9&lt;=$H28,AB$9+6&gt;=$G28),1,""))</x:f>
      </x:c>
      <x:c r="AC28" s="12" t="str">
        <x:f t="shared" si="5">IF(OR($G28="",$H28="",$H28&lt;$G28),"",IF(AND(AC$9&lt;=$H28,AC$9+6&gt;=$G28),1,""))</x:f>
      </x:c>
      <x:c r="AD28" s="13" t="str">
        <x:f t="shared" si="5">IF(OR($G28="",$H28="",$H28&lt;$G28),"",IF(AND(AD$9&lt;=$H28,AD$9+6&gt;=$G28),1,""))</x:f>
      </x:c>
    </x:row>
    <x:row r="29">
      <x:c r="B29" s="6" t="str">
        <x:v>Confiabilidad</x:v>
      </x:c>
      <x:c r="C29" s="3" t="str">
        <x:v>Verificar persistencia de métricas en Worker</x:v>
      </x:c>
      <x:c r="D29" s="8" t="str">
        <x:v>Codex</x:v>
      </x:c>
      <x:c r="E29" s="8" t="str">
        <x:v>Not Started</x:v>
      </x:c>
      <x:c r="F29" s="8" t="str">
        <x:v>P2</x:v>
      </x:c>
      <x:c r="G29" s="49" t="n">
        <x:v>46287.5</x:v>
      </x:c>
      <x:c r="H29" s="49" t="n">
        <x:v>46297.5</x:v>
      </x:c>
      <x:c r="I29" s="11" t="n">
        <x:f t="shared" si="1">IF(OR(G29="",H29="",H29&lt;G29),"",H29-G29+1)</x:f>
        <x:v>11</x:v>
      </x:c>
      <x:c r="J29" s="15"/>
      <x:c r="K29" s="12" t="str">
        <x:f t="shared" si="4">IF(OR($G29="",$H29="",$H29&lt;$G29),"",IF(AND(K$9&lt;=$H29,K$9+6&gt;=$G29),1,""))</x:f>
      </x:c>
      <x:c r="L29" s="13" t="n">
        <x:f t="shared" si="4">IF(OR($G29="",$H29="",$H29&lt;$G29),"",IF(AND(L$9&lt;=$H29,L$9+6&gt;=$G29),1,""))</x:f>
        <x:v>1</x:v>
      </x:c>
      <x:c r="M29" s="12" t="n">
        <x:f t="shared" si="4">IF(OR($G29="",$H29="",$H29&lt;$G29),"",IF(AND(M$9&lt;=$H29,M$9+6&gt;=$G29),1,""))</x:f>
        <x:v>1</x:v>
      </x:c>
      <x:c r="N29" s="13" t="str">
        <x:f t="shared" si="4">IF(OR($G29="",$H29="",$H29&lt;$G29),"",IF(AND(N$9&lt;=$H29,N$9+6&gt;=$G29),1,""))</x:f>
      </x:c>
      <x:c r="O29" s="12" t="str">
        <x:f t="shared" si="4">IF(OR($G29="",$H29="",$H29&lt;$G29),"",IF(AND(O$9&lt;=$H29,O$9+6&gt;=$G29),1,""))</x:f>
      </x:c>
      <x:c r="P29" s="13" t="str">
        <x:f t="shared" si="4">IF(OR($G29="",$H29="",$H29&lt;$G29),"",IF(AND(P$9&lt;=$H29,P$9+6&gt;=$G29),1,""))</x:f>
      </x:c>
      <x:c r="Q29" s="12" t="str">
        <x:f t="shared" si="4">IF(OR($G29="",$H29="",$H29&lt;$G29),"",IF(AND(Q$9&lt;=$H29,Q$9+6&gt;=$G29),1,""))</x:f>
      </x:c>
      <x:c r="R29" s="13" t="str">
        <x:f t="shared" si="4">IF(OR($G29="",$H29="",$H29&lt;$G29),"",IF(AND(R$9&lt;=$H29,R$9+6&gt;=$G29),1,""))</x:f>
      </x:c>
      <x:c r="S29" s="12" t="str">
        <x:f t="shared" si="4">IF(OR($G29="",$H29="",$H29&lt;$G29),"",IF(AND(S$9&lt;=$H29,S$9+6&gt;=$G29),1,""))</x:f>
      </x:c>
      <x:c r="T29" s="13" t="str">
        <x:f t="shared" si="4">IF(OR($G29="",$H29="",$H29&lt;$G29),"",IF(AND(T$9&lt;=$H29,T$9+6&gt;=$G29),1,""))</x:f>
      </x:c>
      <x:c r="U29" s="12" t="str">
        <x:f t="shared" si="5">IF(OR($G29="",$H29="",$H29&lt;$G29),"",IF(AND(U$9&lt;=$H29,U$9+6&gt;=$G29),1,""))</x:f>
      </x:c>
      <x:c r="V29" s="13" t="str">
        <x:f t="shared" si="5">IF(OR($G29="",$H29="",$H29&lt;$G29),"",IF(AND(V$9&lt;=$H29,V$9+6&gt;=$G29),1,""))</x:f>
      </x:c>
      <x:c r="W29" s="12" t="str">
        <x:f t="shared" si="5">IF(OR($G29="",$H29="",$H29&lt;$G29),"",IF(AND(W$9&lt;=$H29,W$9+6&gt;=$G29),1,""))</x:f>
      </x:c>
      <x:c r="X29" s="13" t="str">
        <x:f t="shared" si="5">IF(OR($G29="",$H29="",$H29&lt;$G29),"",IF(AND(X$9&lt;=$H29,X$9+6&gt;=$G29),1,""))</x:f>
      </x:c>
      <x:c r="Y29" s="12" t="str">
        <x:f t="shared" si="5">IF(OR($G29="",$H29="",$H29&lt;$G29),"",IF(AND(Y$9&lt;=$H29,Y$9+6&gt;=$G29),1,""))</x:f>
      </x:c>
      <x:c r="Z29" s="13" t="str">
        <x:f t="shared" si="5">IF(OR($G29="",$H29="",$H29&lt;$G29),"",IF(AND(Z$9&lt;=$H29,Z$9+6&gt;=$G29),1,""))</x:f>
      </x:c>
      <x:c r="AA29" s="12" t="str">
        <x:f t="shared" si="5">IF(OR($G29="",$H29="",$H29&lt;$G29),"",IF(AND(AA$9&lt;=$H29,AA$9+6&gt;=$G29),1,""))</x:f>
      </x:c>
      <x:c r="AB29" s="13" t="str">
        <x:f t="shared" si="5">IF(OR($G29="",$H29="",$H29&lt;$G29),"",IF(AND(AB$9&lt;=$H29,AB$9+6&gt;=$G29),1,""))</x:f>
      </x:c>
      <x:c r="AC29" s="12" t="str">
        <x:f t="shared" si="5">IF(OR($G29="",$H29="",$H29&lt;$G29),"",IF(AND(AC$9&lt;=$H29,AC$9+6&gt;=$G29),1,""))</x:f>
      </x:c>
      <x:c r="AD29" s="13" t="str">
        <x:f t="shared" si="5">IF(OR($G29="",$H29="",$H29&lt;$G29),"",IF(AND(AD$9&lt;=$H29,AD$9+6&gt;=$G29),1,""))</x:f>
      </x:c>
    </x:row>
    <x:row r="30">
      <x:c r="B30" s="5" t="str">
        <x:v>Infraestructura</x:v>
      </x:c>
      <x:c r="C30" s="4" t="str">
        <x:v>Retirar configuración Vercel y Upstash obsoleta</x:v>
      </x:c>
      <x:c r="D30" s="7" t="str">
        <x:v>Codex</x:v>
      </x:c>
      <x:c r="E30" s="7" t="str">
        <x:v>Complete</x:v>
      </x:c>
      <x:c r="F30" s="7" t="str">
        <x:v>P1</x:v>
      </x:c>
      <x:c r="G30" s="48" t="n">
        <x:v>46284.5</x:v>
      </x:c>
      <x:c r="H30" s="48" t="n">
        <x:v>46284.5</x:v>
      </x:c>
      <x:c r="I30" s="11" t="n">
        <x:f t="shared" si="1">IF(OR(G30="",H30="",H30&lt;G30),"",H30-G30+1)</x:f>
        <x:v>1</x:v>
      </x:c>
      <x:c r="J30" s="15"/>
      <x:c r="K30" s="12" t="n">
        <x:f t="shared" ref="K30:T39" si="6">IF(OR($G30="",$H30="",$H30&lt;$G30),"",IF(AND(K$9&lt;=$H30,K$9+6&gt;=$G30),1,""))</x:f>
        <x:v>1</x:v>
      </x:c>
      <x:c r="L30" s="13" t="str">
        <x:f t="shared" si="6">IF(OR($G30="",$H30="",$H30&lt;$G30),"",IF(AND(L$9&lt;=$H30,L$9+6&gt;=$G30),1,""))</x:f>
      </x:c>
      <x:c r="M30" s="12" t="str">
        <x:f t="shared" si="6">IF(OR($G30="",$H30="",$H30&lt;$G30),"",IF(AND(M$9&lt;=$H30,M$9+6&gt;=$G30),1,""))</x:f>
      </x:c>
      <x:c r="N30" s="13" t="str">
        <x:f t="shared" si="6">IF(OR($G30="",$H30="",$H30&lt;$G30),"",IF(AND(N$9&lt;=$H30,N$9+6&gt;=$G30),1,""))</x:f>
      </x:c>
      <x:c r="O30" s="12" t="str">
        <x:f t="shared" si="6">IF(OR($G30="",$H30="",$H30&lt;$G30),"",IF(AND(O$9&lt;=$H30,O$9+6&gt;=$G30),1,""))</x:f>
      </x:c>
      <x:c r="P30" s="13" t="str">
        <x:f t="shared" si="6">IF(OR($G30="",$H30="",$H30&lt;$G30),"",IF(AND(P$9&lt;=$H30,P$9+6&gt;=$G30),1,""))</x:f>
      </x:c>
      <x:c r="Q30" s="12" t="str">
        <x:f t="shared" si="6">IF(OR($G30="",$H30="",$H30&lt;$G30),"",IF(AND(Q$9&lt;=$H30,Q$9+6&gt;=$G30),1,""))</x:f>
      </x:c>
      <x:c r="R30" s="13" t="str">
        <x:f t="shared" si="6">IF(OR($G30="",$H30="",$H30&lt;$G30),"",IF(AND(R$9&lt;=$H30,R$9+6&gt;=$G30),1,""))</x:f>
      </x:c>
      <x:c r="S30" s="12" t="str">
        <x:f t="shared" si="6">IF(OR($G30="",$H30="",$H30&lt;$G30),"",IF(AND(S$9&lt;=$H30,S$9+6&gt;=$G30),1,""))</x:f>
      </x:c>
      <x:c r="T30" s="13" t="str">
        <x:f t="shared" si="6">IF(OR($G30="",$H30="",$H30&lt;$G30),"",IF(AND(T$9&lt;=$H30,T$9+6&gt;=$G30),1,""))</x:f>
      </x:c>
      <x:c r="U30" s="12" t="str">
        <x:f t="shared" ref="U30:AD39" si="7">IF(OR($G30="",$H30="",$H30&lt;$G30),"",IF(AND(U$9&lt;=$H30,U$9+6&gt;=$G30),1,""))</x:f>
      </x:c>
      <x:c r="V30" s="13" t="str">
        <x:f t="shared" si="7">IF(OR($G30="",$H30="",$H30&lt;$G30),"",IF(AND(V$9&lt;=$H30,V$9+6&gt;=$G30),1,""))</x:f>
      </x:c>
      <x:c r="W30" s="12" t="str">
        <x:f t="shared" si="7">IF(OR($G30="",$H30="",$H30&lt;$G30),"",IF(AND(W$9&lt;=$H30,W$9+6&gt;=$G30),1,""))</x:f>
      </x:c>
      <x:c r="X30" s="13" t="str">
        <x:f t="shared" si="7">IF(OR($G30="",$H30="",$H30&lt;$G30),"",IF(AND(X$9&lt;=$H30,X$9+6&gt;=$G30),1,""))</x:f>
      </x:c>
      <x:c r="Y30" s="12" t="str">
        <x:f t="shared" si="7">IF(OR($G30="",$H30="",$H30&lt;$G30),"",IF(AND(Y$9&lt;=$H30,Y$9+6&gt;=$G30),1,""))</x:f>
      </x:c>
      <x:c r="Z30" s="13" t="str">
        <x:f t="shared" si="7">IF(OR($G30="",$H30="",$H30&lt;$G30),"",IF(AND(Z$9&lt;=$H30,Z$9+6&gt;=$G30),1,""))</x:f>
      </x:c>
      <x:c r="AA30" s="12" t="str">
        <x:f t="shared" si="7">IF(OR($G30="",$H30="",$H30&lt;$G30),"",IF(AND(AA$9&lt;=$H30,AA$9+6&gt;=$G30),1,""))</x:f>
      </x:c>
      <x:c r="AB30" s="13" t="str">
        <x:f t="shared" si="7">IF(OR($G30="",$H30="",$H30&lt;$G30),"",IF(AND(AB$9&lt;=$H30,AB$9+6&gt;=$G30),1,""))</x:f>
      </x:c>
      <x:c r="AC30" s="12" t="str">
        <x:f t="shared" si="7">IF(OR($G30="",$H30="",$H30&lt;$G30),"",IF(AND(AC$9&lt;=$H30,AC$9+6&gt;=$G30),1,""))</x:f>
      </x:c>
      <x:c r="AD30" s="13" t="str">
        <x:f t="shared" si="7">IF(OR($G30="",$H30="",$H30&lt;$G30),"",IF(AND(AD$9&lt;=$H30,AD$9+6&gt;=$G30),1,""))</x:f>
      </x:c>
    </x:row>
    <x:row r="31">
      <x:c r="B31" s="6" t="str">
        <x:v>Sponsors</x:v>
      </x:c>
      <x:c r="C31" s="3" t="str">
        <x:v>Confirmar recepción real del correo comercial</x:v>
      </x:c>
      <x:c r="D31" s="8" t="str">
        <x:v>Jonathan</x:v>
      </x:c>
      <x:c r="E31" s="8" t="str">
        <x:v>In Progress</x:v>
      </x:c>
      <x:c r="F31" s="8" t="str">
        <x:v>P1</x:v>
      </x:c>
      <x:c r="G31" s="50" t="n">
        <x:v>46284.5</x:v>
      </x:c>
      <x:c r="H31" s="50" t="n">
        <x:v>46287.5</x:v>
      </x:c>
      <x:c r="I31" s="11" t="n">
        <x:f t="shared" si="1">IF(OR(G31="",H31="",H31&lt;G31),"",H31-G31+1)</x:f>
        <x:v>4</x:v>
      </x:c>
      <x:c r="J31" s="15"/>
      <x:c r="K31" s="12" t="n">
        <x:f t="shared" si="6">IF(OR($G31="",$H31="",$H31&lt;$G31),"",IF(AND(K$9&lt;=$H31,K$9+6&gt;=$G31),1,""))</x:f>
        <x:v>1</x:v>
      </x:c>
      <x:c r="L31" s="13" t="n">
        <x:f t="shared" si="6">IF(OR($G31="",$H31="",$H31&lt;$G31),"",IF(AND(L$9&lt;=$H31,L$9+6&gt;=$G31),1,""))</x:f>
        <x:v>1</x:v>
      </x:c>
      <x:c r="M31" s="12" t="str">
        <x:f t="shared" si="6">IF(OR($G31="",$H31="",$H31&lt;$G31),"",IF(AND(M$9&lt;=$H31,M$9+6&gt;=$G31),1,""))</x:f>
      </x:c>
      <x:c r="N31" s="13" t="str">
        <x:f t="shared" si="6">IF(OR($G31="",$H31="",$H31&lt;$G31),"",IF(AND(N$9&lt;=$H31,N$9+6&gt;=$G31),1,""))</x:f>
      </x:c>
      <x:c r="O31" s="12" t="str">
        <x:f t="shared" si="6">IF(OR($G31="",$H31="",$H31&lt;$G31),"",IF(AND(O$9&lt;=$H31,O$9+6&gt;=$G31),1,""))</x:f>
      </x:c>
      <x:c r="P31" s="13" t="str">
        <x:f t="shared" si="6">IF(OR($G31="",$H31="",$H31&lt;$G31),"",IF(AND(P$9&lt;=$H31,P$9+6&gt;=$G31),1,""))</x:f>
      </x:c>
      <x:c r="Q31" s="12" t="str">
        <x:f t="shared" si="6">IF(OR($G31="",$H31="",$H31&lt;$G31),"",IF(AND(Q$9&lt;=$H31,Q$9+6&gt;=$G31),1,""))</x:f>
      </x:c>
      <x:c r="R31" s="13" t="str">
        <x:f t="shared" si="6">IF(OR($G31="",$H31="",$H31&lt;$G31),"",IF(AND(R$9&lt;=$H31,R$9+6&gt;=$G31),1,""))</x:f>
      </x:c>
      <x:c r="S31" s="12" t="str">
        <x:f t="shared" si="6">IF(OR($G31="",$H31="",$H31&lt;$G31),"",IF(AND(S$9&lt;=$H31,S$9+6&gt;=$G31),1,""))</x:f>
      </x:c>
      <x:c r="T31" s="13" t="str">
        <x:f t="shared" si="6">IF(OR($G31="",$H31="",$H31&lt;$G31),"",IF(AND(T$9&lt;=$H31,T$9+6&gt;=$G31),1,""))</x:f>
      </x:c>
      <x:c r="U31" s="12" t="str">
        <x:f t="shared" si="7">IF(OR($G31="",$H31="",$H31&lt;$G31),"",IF(AND(U$9&lt;=$H31,U$9+6&gt;=$G31),1,""))</x:f>
      </x:c>
      <x:c r="V31" s="13" t="str">
        <x:f t="shared" si="7">IF(OR($G31="",$H31="",$H31&lt;$G31),"",IF(AND(V$9&lt;=$H31,V$9+6&gt;=$G31),1,""))</x:f>
      </x:c>
      <x:c r="W31" s="12" t="str">
        <x:f t="shared" si="7">IF(OR($G31="",$H31="",$H31&lt;$G31),"",IF(AND(W$9&lt;=$H31,W$9+6&gt;=$G31),1,""))</x:f>
      </x:c>
      <x:c r="X31" s="13" t="str">
        <x:f t="shared" si="7">IF(OR($G31="",$H31="",$H31&lt;$G31),"",IF(AND(X$9&lt;=$H31,X$9+6&gt;=$G31),1,""))</x:f>
      </x:c>
      <x:c r="Y31" s="12" t="str">
        <x:f t="shared" si="7">IF(OR($G31="",$H31="",$H31&lt;$G31),"",IF(AND(Y$9&lt;=$H31,Y$9+6&gt;=$G31),1,""))</x:f>
      </x:c>
      <x:c r="Z31" s="13" t="str">
        <x:f t="shared" si="7">IF(OR($G31="",$H31="",$H31&lt;$G31),"",IF(AND(Z$9&lt;=$H31,Z$9+6&gt;=$G31),1,""))</x:f>
      </x:c>
      <x:c r="AA31" s="12" t="str">
        <x:f t="shared" si="7">IF(OR($G31="",$H31="",$H31&lt;$G31),"",IF(AND(AA$9&lt;=$H31,AA$9+6&gt;=$G31),1,""))</x:f>
      </x:c>
      <x:c r="AB31" s="13" t="str">
        <x:f t="shared" si="7">IF(OR($G31="",$H31="",$H31&lt;$G31),"",IF(AND(AB$9&lt;=$H31,AB$9+6&gt;=$G31),1,""))</x:f>
      </x:c>
      <x:c r="AC31" s="12" t="str">
        <x:f t="shared" si="7">IF(OR($G31="",$H31="",$H31&lt;$G31),"",IF(AND(AC$9&lt;=$H31,AC$9+6&gt;=$G31),1,""))</x:f>
      </x:c>
      <x:c r="AD31" s="13" t="str">
        <x:f t="shared" si="7">IF(OR($G31="",$H31="",$H31&lt;$G31),"",IF(AND(AD$9&lt;=$H31,AD$9+6&gt;=$G31),1,""))</x:f>
      </x:c>
    </x:row>
    <x:row r="32">
      <x:c r="B32" s="5" t="str">
        <x:v>Sponsors</x:v>
      </x:c>
      <x:c r="C32" s="4" t="str">
        <x:v>Cerrar media kit y oferta piloto medible</x:v>
      </x:c>
      <x:c r="D32" s="7" t="str">
        <x:v>Jonathan + Codex</x:v>
      </x:c>
      <x:c r="E32" s="7" t="str">
        <x:v>In Progress</x:v>
      </x:c>
      <x:c r="F32" s="7" t="str">
        <x:v>P2</x:v>
      </x:c>
      <x:c r="G32" s="51" t="n">
        <x:v>46286.5</x:v>
      </x:c>
      <x:c r="H32" s="51" t="n">
        <x:v>46304.5</x:v>
      </x:c>
      <x:c r="I32" s="11" t="n">
        <x:f t="shared" si="1">IF(OR(G32="",H32="",H32&lt;G32),"",H32-G32+1)</x:f>
        <x:v>19</x:v>
      </x:c>
      <x:c r="J32" s="15"/>
      <x:c r="K32" s="12" t="str">
        <x:f t="shared" si="6">IF(OR($G32="",$H32="",$H32&lt;$G32),"",IF(AND(K$9&lt;=$H32,K$9+6&gt;=$G32),1,""))</x:f>
      </x:c>
      <x:c r="L32" s="13" t="n">
        <x:f t="shared" si="6">IF(OR($G32="",$H32="",$H32&lt;$G32),"",IF(AND(L$9&lt;=$H32,L$9+6&gt;=$G32),1,""))</x:f>
        <x:v>1</x:v>
      </x:c>
      <x:c r="M32" s="12" t="n">
        <x:f t="shared" si="6">IF(OR($G32="",$H32="",$H32&lt;$G32),"",IF(AND(M$9&lt;=$H32,M$9+6&gt;=$G32),1,""))</x:f>
        <x:v>1</x:v>
      </x:c>
      <x:c r="N32" s="13" t="n">
        <x:f t="shared" si="6">IF(OR($G32="",$H32="",$H32&lt;$G32),"",IF(AND(N$9&lt;=$H32,N$9+6&gt;=$G32),1,""))</x:f>
        <x:v>1</x:v>
      </x:c>
      <x:c r="O32" s="12" t="str">
        <x:f t="shared" si="6">IF(OR($G32="",$H32="",$H32&lt;$G32),"",IF(AND(O$9&lt;=$H32,O$9+6&gt;=$G32),1,""))</x:f>
      </x:c>
      <x:c r="P32" s="13" t="str">
        <x:f t="shared" si="6">IF(OR($G32="",$H32="",$H32&lt;$G32),"",IF(AND(P$9&lt;=$H32,P$9+6&gt;=$G32),1,""))</x:f>
      </x:c>
      <x:c r="Q32" s="12" t="str">
        <x:f t="shared" si="6">IF(OR($G32="",$H32="",$H32&lt;$G32),"",IF(AND(Q$9&lt;=$H32,Q$9+6&gt;=$G32),1,""))</x:f>
      </x:c>
      <x:c r="R32" s="13" t="str">
        <x:f t="shared" si="6">IF(OR($G32="",$H32="",$H32&lt;$G32),"",IF(AND(R$9&lt;=$H32,R$9+6&gt;=$G32),1,""))</x:f>
      </x:c>
      <x:c r="S32" s="12" t="str">
        <x:f t="shared" si="6">IF(OR($G32="",$H32="",$H32&lt;$G32),"",IF(AND(S$9&lt;=$H32,S$9+6&gt;=$G32),1,""))</x:f>
      </x:c>
      <x:c r="T32" s="13" t="str">
        <x:f t="shared" si="6">IF(OR($G32="",$H32="",$H32&lt;$G32),"",IF(AND(T$9&lt;=$H32,T$9+6&gt;=$G32),1,""))</x:f>
      </x:c>
      <x:c r="U32" s="12" t="str">
        <x:f t="shared" si="7">IF(OR($G32="",$H32="",$H32&lt;$G32),"",IF(AND(U$9&lt;=$H32,U$9+6&gt;=$G32),1,""))</x:f>
      </x:c>
      <x:c r="V32" s="13" t="str">
        <x:f t="shared" si="7">IF(OR($G32="",$H32="",$H32&lt;$G32),"",IF(AND(V$9&lt;=$H32,V$9+6&gt;=$G32),1,""))</x:f>
      </x:c>
      <x:c r="W32" s="12" t="str">
        <x:f t="shared" si="7">IF(OR($G32="",$H32="",$H32&lt;$G32),"",IF(AND(W$9&lt;=$H32,W$9+6&gt;=$G32),1,""))</x:f>
      </x:c>
      <x:c r="X32" s="13" t="str">
        <x:f t="shared" si="7">IF(OR($G32="",$H32="",$H32&lt;$G32),"",IF(AND(X$9&lt;=$H32,X$9+6&gt;=$G32),1,""))</x:f>
      </x:c>
      <x:c r="Y32" s="12" t="str">
        <x:f t="shared" si="7">IF(OR($G32="",$H32="",$H32&lt;$G32),"",IF(AND(Y$9&lt;=$H32,Y$9+6&gt;=$G32),1,""))</x:f>
      </x:c>
      <x:c r="Z32" s="13" t="str">
        <x:f t="shared" si="7">IF(OR($G32="",$H32="",$H32&lt;$G32),"",IF(AND(Z$9&lt;=$H32,Z$9+6&gt;=$G32),1,""))</x:f>
      </x:c>
      <x:c r="AA32" s="12" t="str">
        <x:f t="shared" si="7">IF(OR($G32="",$H32="",$H32&lt;$G32),"",IF(AND(AA$9&lt;=$H32,AA$9+6&gt;=$G32),1,""))</x:f>
      </x:c>
      <x:c r="AB32" s="13" t="str">
        <x:f t="shared" si="7">IF(OR($G32="",$H32="",$H32&lt;$G32),"",IF(AND(AB$9&lt;=$H32,AB$9+6&gt;=$G32),1,""))</x:f>
      </x:c>
      <x:c r="AC32" s="12" t="str">
        <x:f t="shared" si="7">IF(OR($G32="",$H32="",$H32&lt;$G32),"",IF(AND(AC$9&lt;=$H32,AC$9+6&gt;=$G32),1,""))</x:f>
      </x:c>
      <x:c r="AD32" s="13" t="str">
        <x:f t="shared" si="7">IF(OR($G32="",$H32="",$H32&lt;$G32),"",IF(AND(AD$9&lt;=$H32,AD$9+6&gt;=$G32),1,""))</x:f>
      </x:c>
    </x:row>
    <x:row r="33">
      <x:c r="B33" s="6" t="str">
        <x:v>Sponsors</x:v>
      </x:c>
      <x:c r="C33" s="3" t="str">
        <x:v>Investigar 10 negocios y aprobar 5 contactos</x:v>
      </x:c>
      <x:c r="D33" s="8" t="str">
        <x:v>Jonathan</x:v>
      </x:c>
      <x:c r="E33" s="8" t="str">
        <x:v>Not Started</x:v>
      </x:c>
      <x:c r="F33" s="8" t="str">
        <x:v>P2</x:v>
      </x:c>
      <x:c r="G33" s="50" t="n">
        <x:v>46307.5</x:v>
      </x:c>
      <x:c r="H33" s="50" t="n">
        <x:v>46318.5</x:v>
      </x:c>
      <x:c r="I33" s="11" t="n">
        <x:f t="shared" si="1">IF(OR(G33="",H33="",H33&lt;G33),"",H33-G33+1)</x:f>
        <x:v>12</x:v>
      </x:c>
      <x:c r="J33" s="15"/>
      <x:c r="K33" s="12" t="str">
        <x:f t="shared" si="6">IF(OR($G33="",$H33="",$H33&lt;$G33),"",IF(AND(K$9&lt;=$H33,K$9+6&gt;=$G33),1,""))</x:f>
      </x:c>
      <x:c r="L33" s="13" t="str">
        <x:f t="shared" si="6">IF(OR($G33="",$H33="",$H33&lt;$G33),"",IF(AND(L$9&lt;=$H33,L$9+6&gt;=$G33),1,""))</x:f>
      </x:c>
      <x:c r="M33" s="12" t="str">
        <x:f t="shared" si="6">IF(OR($G33="",$H33="",$H33&lt;$G33),"",IF(AND(M$9&lt;=$H33,M$9+6&gt;=$G33),1,""))</x:f>
      </x:c>
      <x:c r="N33" s="13" t="str">
        <x:f t="shared" si="6">IF(OR($G33="",$H33="",$H33&lt;$G33),"",IF(AND(N$9&lt;=$H33,N$9+6&gt;=$G33),1,""))</x:f>
      </x:c>
      <x:c r="O33" s="12" t="n">
        <x:f t="shared" si="6">IF(OR($G33="",$H33="",$H33&lt;$G33),"",IF(AND(O$9&lt;=$H33,O$9+6&gt;=$G33),1,""))</x:f>
        <x:v>1</x:v>
      </x:c>
      <x:c r="P33" s="13" t="n">
        <x:f t="shared" si="6">IF(OR($G33="",$H33="",$H33&lt;$G33),"",IF(AND(P$9&lt;=$H33,P$9+6&gt;=$G33),1,""))</x:f>
        <x:v>1</x:v>
      </x:c>
      <x:c r="Q33" s="12" t="str">
        <x:f t="shared" si="6">IF(OR($G33="",$H33="",$H33&lt;$G33),"",IF(AND(Q$9&lt;=$H33,Q$9+6&gt;=$G33),1,""))</x:f>
      </x:c>
      <x:c r="R33" s="13" t="str">
        <x:f t="shared" si="6">IF(OR($G33="",$H33="",$H33&lt;$G33),"",IF(AND(R$9&lt;=$H33,R$9+6&gt;=$G33),1,""))</x:f>
      </x:c>
      <x:c r="S33" s="12" t="str">
        <x:f t="shared" si="6">IF(OR($G33="",$H33="",$H33&lt;$G33),"",IF(AND(S$9&lt;=$H33,S$9+6&gt;=$G33),1,""))</x:f>
      </x:c>
      <x:c r="T33" s="13" t="str">
        <x:f t="shared" si="6">IF(OR($G33="",$H33="",$H33&lt;$G33),"",IF(AND(T$9&lt;=$H33,T$9+6&gt;=$G33),1,""))</x:f>
      </x:c>
      <x:c r="U33" s="12" t="str">
        <x:f t="shared" si="7">IF(OR($G33="",$H33="",$H33&lt;$G33),"",IF(AND(U$9&lt;=$H33,U$9+6&gt;=$G33),1,""))</x:f>
      </x:c>
      <x:c r="V33" s="13" t="str">
        <x:f t="shared" si="7">IF(OR($G33="",$H33="",$H33&lt;$G33),"",IF(AND(V$9&lt;=$H33,V$9+6&gt;=$G33),1,""))</x:f>
      </x:c>
      <x:c r="W33" s="12" t="str">
        <x:f t="shared" si="7">IF(OR($G33="",$H33="",$H33&lt;$G33),"",IF(AND(W$9&lt;=$H33,W$9+6&gt;=$G33),1,""))</x:f>
      </x:c>
      <x:c r="X33" s="13" t="str">
        <x:f t="shared" si="7">IF(OR($G33="",$H33="",$H33&lt;$G33),"",IF(AND(X$9&lt;=$H33,X$9+6&gt;=$G33),1,""))</x:f>
      </x:c>
      <x:c r="Y33" s="12" t="str">
        <x:f t="shared" si="7">IF(OR($G33="",$H33="",$H33&lt;$G33),"",IF(AND(Y$9&lt;=$H33,Y$9+6&gt;=$G33),1,""))</x:f>
      </x:c>
      <x:c r="Z33" s="13" t="str">
        <x:f t="shared" si="7">IF(OR($G33="",$H33="",$H33&lt;$G33),"",IF(AND(Z$9&lt;=$H33,Z$9+6&gt;=$G33),1,""))</x:f>
      </x:c>
      <x:c r="AA33" s="12" t="str">
        <x:f t="shared" si="7">IF(OR($G33="",$H33="",$H33&lt;$G33),"",IF(AND(AA$9&lt;=$H33,AA$9+6&gt;=$G33),1,""))</x:f>
      </x:c>
      <x:c r="AB33" s="13" t="str">
        <x:f t="shared" si="7">IF(OR($G33="",$H33="",$H33&lt;$G33),"",IF(AND(AB$9&lt;=$H33,AB$9+6&gt;=$G33),1,""))</x:f>
      </x:c>
      <x:c r="AC33" s="12" t="str">
        <x:f t="shared" si="7">IF(OR($G33="",$H33="",$H33&lt;$G33),"",IF(AND(AC$9&lt;=$H33,AC$9+6&gt;=$G33),1,""))</x:f>
      </x:c>
      <x:c r="AD33" s="13" t="str">
        <x:f t="shared" si="7">IF(OR($G33="",$H33="",$H33&lt;$G33),"",IF(AND(AD$9&lt;=$H33,AD$9+6&gt;=$G33),1,""))</x:f>
      </x:c>
    </x:row>
    <x:row r="34">
      <x:c r="B34" s="5" t="str">
        <x:v>Sponsors</x:v>
      </x:c>
      <x:c r="C34" s="4" t="str">
        <x:v>Ejecutar máximo 2 pilotos durante 30 días</x:v>
      </x:c>
      <x:c r="D34" s="7" t="str">
        <x:v>Jonathan</x:v>
      </x:c>
      <x:c r="E34" s="7" t="str">
        <x:v>Not Started</x:v>
      </x:c>
      <x:c r="F34" s="7" t="str">
        <x:v>P2</x:v>
      </x:c>
      <x:c r="G34" s="51" t="n">
        <x:v>46304.5</x:v>
      </x:c>
      <x:c r="H34" s="51" t="n">
        <x:v>46334.5</x:v>
      </x:c>
      <x:c r="I34" s="11" t="n">
        <x:f t="shared" si="1">IF(OR(G34="",H34="",H34&lt;G34),"",H34-G34+1)</x:f>
        <x:v>31</x:v>
      </x:c>
      <x:c r="J34" s="15"/>
      <x:c r="K34" s="12" t="str">
        <x:f t="shared" si="6">IF(OR($G34="",$H34="",$H34&lt;$G34),"",IF(AND(K$9&lt;=$H34,K$9+6&gt;=$G34),1,""))</x:f>
      </x:c>
      <x:c r="L34" s="13" t="str">
        <x:f t="shared" si="6">IF(OR($G34="",$H34="",$H34&lt;$G34),"",IF(AND(L$9&lt;=$H34,L$9+6&gt;=$G34),1,""))</x:f>
      </x:c>
      <x:c r="M34" s="12" t="str">
        <x:f t="shared" si="6">IF(OR($G34="",$H34="",$H34&lt;$G34),"",IF(AND(M$9&lt;=$H34,M$9+6&gt;=$G34),1,""))</x:f>
      </x:c>
      <x:c r="N34" s="13" t="n">
        <x:f t="shared" si="6">IF(OR($G34="",$H34="",$H34&lt;$G34),"",IF(AND(N$9&lt;=$H34,N$9+6&gt;=$G34),1,""))</x:f>
        <x:v>1</x:v>
      </x:c>
      <x:c r="O34" s="12" t="n">
        <x:f t="shared" si="6">IF(OR($G34="",$H34="",$H34&lt;$G34),"",IF(AND(O$9&lt;=$H34,O$9+6&gt;=$G34),1,""))</x:f>
        <x:v>1</x:v>
      </x:c>
      <x:c r="P34" s="13" t="n">
        <x:f t="shared" si="6">IF(OR($G34="",$H34="",$H34&lt;$G34),"",IF(AND(P$9&lt;=$H34,P$9+6&gt;=$G34),1,""))</x:f>
        <x:v>1</x:v>
      </x:c>
      <x:c r="Q34" s="12" t="n">
        <x:f t="shared" si="6">IF(OR($G34="",$H34="",$H34&lt;$G34),"",IF(AND(Q$9&lt;=$H34,Q$9+6&gt;=$G34),1,""))</x:f>
        <x:v>1</x:v>
      </x:c>
      <x:c r="R34" s="13" t="n">
        <x:f t="shared" si="6">IF(OR($G34="",$H34="",$H34&lt;$G34),"",IF(AND(R$9&lt;=$H34,R$9+6&gt;=$G34),1,""))</x:f>
        <x:v>1</x:v>
      </x:c>
      <x:c r="S34" s="12" t="str">
        <x:f t="shared" si="6">IF(OR($G34="",$H34="",$H34&lt;$G34),"",IF(AND(S$9&lt;=$H34,S$9+6&gt;=$G34),1,""))</x:f>
      </x:c>
      <x:c r="T34" s="13" t="str">
        <x:f t="shared" si="6">IF(OR($G34="",$H34="",$H34&lt;$G34),"",IF(AND(T$9&lt;=$H34,T$9+6&gt;=$G34),1,""))</x:f>
      </x:c>
      <x:c r="U34" s="12" t="str">
        <x:f t="shared" si="7">IF(OR($G34="",$H34="",$H34&lt;$G34),"",IF(AND(U$9&lt;=$H34,U$9+6&gt;=$G34),1,""))</x:f>
      </x:c>
      <x:c r="V34" s="13" t="str">
        <x:f t="shared" si="7">IF(OR($G34="",$H34="",$H34&lt;$G34),"",IF(AND(V$9&lt;=$H34,V$9+6&gt;=$G34),1,""))</x:f>
      </x:c>
      <x:c r="W34" s="12" t="str">
        <x:f t="shared" si="7">IF(OR($G34="",$H34="",$H34&lt;$G34),"",IF(AND(W$9&lt;=$H34,W$9+6&gt;=$G34),1,""))</x:f>
      </x:c>
      <x:c r="X34" s="13" t="str">
        <x:f t="shared" si="7">IF(OR($G34="",$H34="",$H34&lt;$G34),"",IF(AND(X$9&lt;=$H34,X$9+6&gt;=$G34),1,""))</x:f>
      </x:c>
      <x:c r="Y34" s="12" t="str">
        <x:f t="shared" si="7">IF(OR($G34="",$H34="",$H34&lt;$G34),"",IF(AND(Y$9&lt;=$H34,Y$9+6&gt;=$G34),1,""))</x:f>
      </x:c>
      <x:c r="Z34" s="13" t="str">
        <x:f t="shared" si="7">IF(OR($G34="",$H34="",$H34&lt;$G34),"",IF(AND(Z$9&lt;=$H34,Z$9+6&gt;=$G34),1,""))</x:f>
      </x:c>
      <x:c r="AA34" s="12" t="str">
        <x:f t="shared" si="7">IF(OR($G34="",$H34="",$H34&lt;$G34),"",IF(AND(AA$9&lt;=$H34,AA$9+6&gt;=$G34),1,""))</x:f>
      </x:c>
      <x:c r="AB34" s="13" t="str">
        <x:f t="shared" si="7">IF(OR($G34="",$H34="",$H34&lt;$G34),"",IF(AND(AB$9&lt;=$H34,AB$9+6&gt;=$G34),1,""))</x:f>
      </x:c>
      <x:c r="AC34" s="12" t="str">
        <x:f t="shared" si="7">IF(OR($G34="",$H34="",$H34&lt;$G34),"",IF(AND(AC$9&lt;=$H34,AC$9+6&gt;=$G34),1,""))</x:f>
      </x:c>
      <x:c r="AD34" s="13" t="str">
        <x:f t="shared" si="7">IF(OR($G34="",$H34="",$H34&lt;$G34),"",IF(AND(AD$9&lt;=$H34,AD$9+6&gt;=$G34),1,""))</x:f>
      </x:c>
    </x:row>
    <x:row r="35">
      <x:c r="B35" s="6" t="str">
        <x:v>Servicios de PC</x:v>
      </x:c>
      <x:c r="C35" s="3" t="str">
        <x:v>Definir mercado y zona del servicio</x:v>
      </x:c>
      <x:c r="D35" s="8" t="str">
        <x:v>Jonathan</x:v>
      </x:c>
      <x:c r="E35" s="8" t="str">
        <x:v>Not Started</x:v>
      </x:c>
      <x:c r="F35" s="8" t="str">
        <x:v>P3</x:v>
      </x:c>
      <x:c r="G35" s="50" t="n">
        <x:v>46307.5</x:v>
      </x:c>
      <x:c r="H35" s="50" t="n">
        <x:v>46311.5</x:v>
      </x:c>
      <x:c r="I35" s="11" t="n">
        <x:f t="shared" si="1">IF(OR(G35="",H35="",H35&lt;G35),"",H35-G35+1)</x:f>
        <x:v>5</x:v>
      </x:c>
      <x:c r="J35" s="15"/>
      <x:c r="K35" s="12" t="str">
        <x:f t="shared" si="6">IF(OR($G35="",$H35="",$H35&lt;$G35),"",IF(AND(K$9&lt;=$H35,K$9+6&gt;=$G35),1,""))</x:f>
      </x:c>
      <x:c r="L35" s="13" t="str">
        <x:f t="shared" si="6">IF(OR($G35="",$H35="",$H35&lt;$G35),"",IF(AND(L$9&lt;=$H35,L$9+6&gt;=$G35),1,""))</x:f>
      </x:c>
      <x:c r="M35" s="12" t="str">
        <x:f t="shared" si="6">IF(OR($G35="",$H35="",$H35&lt;$G35),"",IF(AND(M$9&lt;=$H35,M$9+6&gt;=$G35),1,""))</x:f>
      </x:c>
      <x:c r="N35" s="13" t="str">
        <x:f t="shared" si="6">IF(OR($G35="",$H35="",$H35&lt;$G35),"",IF(AND(N$9&lt;=$H35,N$9+6&gt;=$G35),1,""))</x:f>
      </x:c>
      <x:c r="O35" s="12" t="n">
        <x:f t="shared" si="6">IF(OR($G35="",$H35="",$H35&lt;$G35),"",IF(AND(O$9&lt;=$H35,O$9+6&gt;=$G35),1,""))</x:f>
        <x:v>1</x:v>
      </x:c>
      <x:c r="P35" s="13" t="str">
        <x:f t="shared" si="6">IF(OR($G35="",$H35="",$H35&lt;$G35),"",IF(AND(P$9&lt;=$H35,P$9+6&gt;=$G35),1,""))</x:f>
      </x:c>
      <x:c r="Q35" s="12" t="str">
        <x:f t="shared" si="6">IF(OR($G35="",$H35="",$H35&lt;$G35),"",IF(AND(Q$9&lt;=$H35,Q$9+6&gt;=$G35),1,""))</x:f>
      </x:c>
      <x:c r="R35" s="13" t="str">
        <x:f t="shared" si="6">IF(OR($G35="",$H35="",$H35&lt;$G35),"",IF(AND(R$9&lt;=$H35,R$9+6&gt;=$G35),1,""))</x:f>
      </x:c>
      <x:c r="S35" s="12" t="str">
        <x:f t="shared" si="6">IF(OR($G35="",$H35="",$H35&lt;$G35),"",IF(AND(S$9&lt;=$H35,S$9+6&gt;=$G35),1,""))</x:f>
      </x:c>
      <x:c r="T35" s="13" t="str">
        <x:f t="shared" si="6">IF(OR($G35="",$H35="",$H35&lt;$G35),"",IF(AND(T$9&lt;=$H35,T$9+6&gt;=$G35),1,""))</x:f>
      </x:c>
      <x:c r="U35" s="12" t="str">
        <x:f t="shared" si="7">IF(OR($G35="",$H35="",$H35&lt;$G35),"",IF(AND(U$9&lt;=$H35,U$9+6&gt;=$G35),1,""))</x:f>
      </x:c>
      <x:c r="V35" s="13" t="str">
        <x:f t="shared" si="7">IF(OR($G35="",$H35="",$H35&lt;$G35),"",IF(AND(V$9&lt;=$H35,V$9+6&gt;=$G35),1,""))</x:f>
      </x:c>
      <x:c r="W35" s="12" t="str">
        <x:f t="shared" si="7">IF(OR($G35="",$H35="",$H35&lt;$G35),"",IF(AND(W$9&lt;=$H35,W$9+6&gt;=$G35),1,""))</x:f>
      </x:c>
      <x:c r="X35" s="13" t="str">
        <x:f t="shared" si="7">IF(OR($G35="",$H35="",$H35&lt;$G35),"",IF(AND(X$9&lt;=$H35,X$9+6&gt;=$G35),1,""))</x:f>
      </x:c>
      <x:c r="Y35" s="12" t="str">
        <x:f t="shared" si="7">IF(OR($G35="",$H35="",$H35&lt;$G35),"",IF(AND(Y$9&lt;=$H35,Y$9+6&gt;=$G35),1,""))</x:f>
      </x:c>
      <x:c r="Z35" s="13" t="str">
        <x:f t="shared" si="7">IF(OR($G35="",$H35="",$H35&lt;$G35),"",IF(AND(Z$9&lt;=$H35,Z$9+6&gt;=$G35),1,""))</x:f>
      </x:c>
      <x:c r="AA35" s="12" t="str">
        <x:f t="shared" si="7">IF(OR($G35="",$H35="",$H35&lt;$G35),"",IF(AND(AA$9&lt;=$H35,AA$9+6&gt;=$G35),1,""))</x:f>
      </x:c>
      <x:c r="AB35" s="13" t="str">
        <x:f t="shared" si="7">IF(OR($G35="",$H35="",$H35&lt;$G35),"",IF(AND(AB$9&lt;=$H35,AB$9+6&gt;=$G35),1,""))</x:f>
      </x:c>
      <x:c r="AC35" s="12" t="str">
        <x:f t="shared" si="7">IF(OR($G35="",$H35="",$H35&lt;$G35),"",IF(AND(AC$9&lt;=$H35,AC$9+6&gt;=$G35),1,""))</x:f>
      </x:c>
      <x:c r="AD35" s="13" t="str">
        <x:f t="shared" si="7">IF(OR($G35="",$H35="",$H35&lt;$G35),"",IF(AND(AD$9&lt;=$H35,AD$9+6&gt;=$G35),1,""))</x:f>
      </x:c>
    </x:row>
    <x:row r="36">
      <x:c r="B36" s="5" t="str">
        <x:v>Servicios de PC</x:v>
      </x:c>
      <x:c r="C36" s="4" t="str">
        <x:v>Validar hasta 3 trabajos pagados antes de invertir</x:v>
      </x:c>
      <x:c r="D36" s="7" t="str">
        <x:v>Jonathan</x:v>
      </x:c>
      <x:c r="E36" s="7" t="str">
        <x:v>Not Started</x:v>
      </x:c>
      <x:c r="F36" s="7" t="str">
        <x:v>P3</x:v>
      </x:c>
      <x:c r="G36" s="51" t="n">
        <x:v>46314.5</x:v>
      </x:c>
      <x:c r="H36" s="51" t="n">
        <x:v>46366.5</x:v>
      </x:c>
      <x:c r="I36" s="11" t="n">
        <x:f t="shared" si="1">IF(OR(G36="",H36="",H36&lt;G36),"",H36-G36+1)</x:f>
        <x:v>53</x:v>
      </x:c>
      <x:c r="J36" s="15"/>
      <x:c r="K36" s="12" t="str">
        <x:f t="shared" si="6">IF(OR($G36="",$H36="",$H36&lt;$G36),"",IF(AND(K$9&lt;=$H36,K$9+6&gt;=$G36),1,""))</x:f>
      </x:c>
      <x:c r="L36" s="13" t="str">
        <x:f t="shared" si="6">IF(OR($G36="",$H36="",$H36&lt;$G36),"",IF(AND(L$9&lt;=$H36,L$9+6&gt;=$G36),1,""))</x:f>
      </x:c>
      <x:c r="M36" s="12" t="str">
        <x:f t="shared" si="6">IF(OR($G36="",$H36="",$H36&lt;$G36),"",IF(AND(M$9&lt;=$H36,M$9+6&gt;=$G36),1,""))</x:f>
      </x:c>
      <x:c r="N36" s="13" t="str">
        <x:f t="shared" si="6">IF(OR($G36="",$H36="",$H36&lt;$G36),"",IF(AND(N$9&lt;=$H36,N$9+6&gt;=$G36),1,""))</x:f>
      </x:c>
      <x:c r="O36" s="12" t="str">
        <x:f t="shared" si="6">IF(OR($G36="",$H36="",$H36&lt;$G36),"",IF(AND(O$9&lt;=$H36,O$9+6&gt;=$G36),1,""))</x:f>
      </x:c>
      <x:c r="P36" s="13" t="n">
        <x:f t="shared" si="6">IF(OR($G36="",$H36="",$H36&lt;$G36),"",IF(AND(P$9&lt;=$H36,P$9+6&gt;=$G36),1,""))</x:f>
        <x:v>1</x:v>
      </x:c>
      <x:c r="Q36" s="12" t="n">
        <x:f t="shared" si="6">IF(OR($G36="",$H36="",$H36&lt;$G36),"",IF(AND(Q$9&lt;=$H36,Q$9+6&gt;=$G36),1,""))</x:f>
        <x:v>1</x:v>
      </x:c>
      <x:c r="R36" s="13" t="n">
        <x:f t="shared" si="6">IF(OR($G36="",$H36="",$H36&lt;$G36),"",IF(AND(R$9&lt;=$H36,R$9+6&gt;=$G36),1,""))</x:f>
        <x:v>1</x:v>
      </x:c>
      <x:c r="S36" s="12" t="n">
        <x:f t="shared" si="6">IF(OR($G36="",$H36="",$H36&lt;$G36),"",IF(AND(S$9&lt;=$H36,S$9+6&gt;=$G36),1,""))</x:f>
        <x:v>1</x:v>
      </x:c>
      <x:c r="T36" s="13" t="n">
        <x:f t="shared" si="6">IF(OR($G36="",$H36="",$H36&lt;$G36),"",IF(AND(T$9&lt;=$H36,T$9+6&gt;=$G36),1,""))</x:f>
        <x:v>1</x:v>
      </x:c>
      <x:c r="U36" s="12" t="n">
        <x:f t="shared" si="7">IF(OR($G36="",$H36="",$H36&lt;$G36),"",IF(AND(U$9&lt;=$H36,U$9+6&gt;=$G36),1,""))</x:f>
        <x:v>1</x:v>
      </x:c>
      <x:c r="V36" s="13" t="n">
        <x:f t="shared" si="7">IF(OR($G36="",$H36="",$H36&lt;$G36),"",IF(AND(V$9&lt;=$H36,V$9+6&gt;=$G36),1,""))</x:f>
        <x:v>1</x:v>
      </x:c>
      <x:c r="W36" s="12" t="n">
        <x:f t="shared" si="7">IF(OR($G36="",$H36="",$H36&lt;$G36),"",IF(AND(W$9&lt;=$H36,W$9+6&gt;=$G36),1,""))</x:f>
        <x:v>1</x:v>
      </x:c>
      <x:c r="X36" s="13" t="str">
        <x:f t="shared" si="7">IF(OR($G36="",$H36="",$H36&lt;$G36),"",IF(AND(X$9&lt;=$H36,X$9+6&gt;=$G36),1,""))</x:f>
      </x:c>
      <x:c r="Y36" s="12" t="str">
        <x:f t="shared" si="7">IF(OR($G36="",$H36="",$H36&lt;$G36),"",IF(AND(Y$9&lt;=$H36,Y$9+6&gt;=$G36),1,""))</x:f>
      </x:c>
      <x:c r="Z36" s="13" t="str">
        <x:f t="shared" si="7">IF(OR($G36="",$H36="",$H36&lt;$G36),"",IF(AND(Z$9&lt;=$H36,Z$9+6&gt;=$G36),1,""))</x:f>
      </x:c>
      <x:c r="AA36" s="12" t="str">
        <x:f t="shared" si="7">IF(OR($G36="",$H36="",$H36&lt;$G36),"",IF(AND(AA$9&lt;=$H36,AA$9+6&gt;=$G36),1,""))</x:f>
      </x:c>
      <x:c r="AB36" s="13" t="str">
        <x:f t="shared" si="7">IF(OR($G36="",$H36="",$H36&lt;$G36),"",IF(AND(AB$9&lt;=$H36,AB$9+6&gt;=$G36),1,""))</x:f>
      </x:c>
      <x:c r="AC36" s="12" t="str">
        <x:f t="shared" si="7">IF(OR($G36="",$H36="",$H36&lt;$G36),"",IF(AND(AC$9&lt;=$H36,AC$9+6&gt;=$G36),1,""))</x:f>
      </x:c>
      <x:c r="AD36" s="13" t="str">
        <x:f t="shared" si="7">IF(OR($G36="",$H36="",$H36&lt;$G36),"",IF(AND(AD$9&lt;=$H36,AD$9+6&gt;=$G36),1,""))</x:f>
      </x:c>
    </x:row>
    <x:row r="37">
      <x:c r="B37" s="6" t="str">
        <x:v>Seguimiento</x:v>
      </x:c>
      <x:c r="C37" s="3" t="str">
        <x:v>Actualizar métricas y backlog cada lunes</x:v>
      </x:c>
      <x:c r="D37" s="8" t="str">
        <x:v>Jonathan + Codex</x:v>
      </x:c>
      <x:c r="E37" s="8" t="str">
        <x:v>In Progress</x:v>
      </x:c>
      <x:c r="F37" s="8" t="str">
        <x:v>P1</x:v>
      </x:c>
      <x:c r="G37" s="50" t="n">
        <x:v>46286.5</x:v>
      </x:c>
      <x:c r="H37" s="50" t="n">
        <x:v>46370.5</x:v>
      </x:c>
      <x:c r="I37" s="11" t="n">
        <x:f t="shared" si="1">IF(OR(G37="",H37="",H37&lt;G37),"",H37-G37+1)</x:f>
        <x:v>85</x:v>
      </x:c>
      <x:c r="J37" s="15"/>
      <x:c r="K37" s="12" t="str">
        <x:f t="shared" si="6">IF(OR($G37="",$H37="",$H37&lt;$G37),"",IF(AND(K$9&lt;=$H37,K$9+6&gt;=$G37),1,""))</x:f>
      </x:c>
      <x:c r="L37" s="13" t="n">
        <x:f t="shared" si="6">IF(OR($G37="",$H37="",$H37&lt;$G37),"",IF(AND(L$9&lt;=$H37,L$9+6&gt;=$G37),1,""))</x:f>
        <x:v>1</x:v>
      </x:c>
      <x:c r="M37" s="12" t="n">
        <x:f t="shared" si="6">IF(OR($G37="",$H37="",$H37&lt;$G37),"",IF(AND(M$9&lt;=$H37,M$9+6&gt;=$G37),1,""))</x:f>
        <x:v>1</x:v>
      </x:c>
      <x:c r="N37" s="13" t="n">
        <x:f t="shared" si="6">IF(OR($G37="",$H37="",$H37&lt;$G37),"",IF(AND(N$9&lt;=$H37,N$9+6&gt;=$G37),1,""))</x:f>
        <x:v>1</x:v>
      </x:c>
      <x:c r="O37" s="12" t="n">
        <x:f t="shared" si="6">IF(OR($G37="",$H37="",$H37&lt;$G37),"",IF(AND(O$9&lt;=$H37,O$9+6&gt;=$G37),1,""))</x:f>
        <x:v>1</x:v>
      </x:c>
      <x:c r="P37" s="13" t="n">
        <x:f t="shared" si="6">IF(OR($G37="",$H37="",$H37&lt;$G37),"",IF(AND(P$9&lt;=$H37,P$9+6&gt;=$G37),1,""))</x:f>
        <x:v>1</x:v>
      </x:c>
      <x:c r="Q37" s="12" t="n">
        <x:f t="shared" si="6">IF(OR($G37="",$H37="",$H37&lt;$G37),"",IF(AND(Q$9&lt;=$H37,Q$9+6&gt;=$G37),1,""))</x:f>
        <x:v>1</x:v>
      </x:c>
      <x:c r="R37" s="13" t="n">
        <x:f t="shared" si="6">IF(OR($G37="",$H37="",$H37&lt;$G37),"",IF(AND(R$9&lt;=$H37,R$9+6&gt;=$G37),1,""))</x:f>
        <x:v>1</x:v>
      </x:c>
      <x:c r="S37" s="12" t="n">
        <x:f t="shared" si="6">IF(OR($G37="",$H37="",$H37&lt;$G37),"",IF(AND(S$9&lt;=$H37,S$9+6&gt;=$G37),1,""))</x:f>
        <x:v>1</x:v>
      </x:c>
      <x:c r="T37" s="13" t="n">
        <x:f t="shared" si="6">IF(OR($G37="",$H37="",$H37&lt;$G37),"",IF(AND(T$9&lt;=$H37,T$9+6&gt;=$G37),1,""))</x:f>
        <x:v>1</x:v>
      </x:c>
      <x:c r="U37" s="12" t="n">
        <x:f t="shared" si="7">IF(OR($G37="",$H37="",$H37&lt;$G37),"",IF(AND(U$9&lt;=$H37,U$9+6&gt;=$G37),1,""))</x:f>
        <x:v>1</x:v>
      </x:c>
      <x:c r="V37" s="13" t="n">
        <x:f t="shared" si="7">IF(OR($G37="",$H37="",$H37&lt;$G37),"",IF(AND(V$9&lt;=$H37,V$9+6&gt;=$G37),1,""))</x:f>
        <x:v>1</x:v>
      </x:c>
      <x:c r="W37" s="12" t="n">
        <x:f t="shared" si="7">IF(OR($G37="",$H37="",$H37&lt;$G37),"",IF(AND(W$9&lt;=$H37,W$9+6&gt;=$G37),1,""))</x:f>
        <x:v>1</x:v>
      </x:c>
      <x:c r="X37" s="13" t="n">
        <x:f t="shared" si="7">IF(OR($G37="",$H37="",$H37&lt;$G37),"",IF(AND(X$9&lt;=$H37,X$9+6&gt;=$G37),1,""))</x:f>
        <x:v>1</x:v>
      </x:c>
      <x:c r="Y37" s="12" t="str">
        <x:f t="shared" si="7">IF(OR($G37="",$H37="",$H37&lt;$G37),"",IF(AND(Y$9&lt;=$H37,Y$9+6&gt;=$G37),1,""))</x:f>
      </x:c>
      <x:c r="Z37" s="13" t="str">
        <x:f t="shared" si="7">IF(OR($G37="",$H37="",$H37&lt;$G37),"",IF(AND(Z$9&lt;=$H37,Z$9+6&gt;=$G37),1,""))</x:f>
      </x:c>
      <x:c r="AA37" s="12" t="str">
        <x:f t="shared" si="7">IF(OR($G37="",$H37="",$H37&lt;$G37),"",IF(AND(AA$9&lt;=$H37,AA$9+6&gt;=$G37),1,""))</x:f>
      </x:c>
      <x:c r="AB37" s="13" t="str">
        <x:f t="shared" si="7">IF(OR($G37="",$H37="",$H37&lt;$G37),"",IF(AND(AB$9&lt;=$H37,AB$9+6&gt;=$G37),1,""))</x:f>
      </x:c>
      <x:c r="AC37" s="12" t="str">
        <x:f t="shared" si="7">IF(OR($G37="",$H37="",$H37&lt;$G37),"",IF(AND(AC$9&lt;=$H37,AC$9+6&gt;=$G37),1,""))</x:f>
      </x:c>
      <x:c r="AD37" s="13" t="str">
        <x:f t="shared" si="7">IF(OR($G37="",$H37="",$H37&lt;$G37),"",IF(AND(AD$9&lt;=$H37,AD$9+6&gt;=$G37),1,""))</x:f>
      </x:c>
    </x:row>
    <x:row r="38">
      <x:c r="B38" s="5" t="str">
        <x:v>Seguimiento</x:v>
      </x:c>
      <x:c r="C38" s="4" t="str">
        <x:v>Registrar corte diario solo ante cambios relevantes</x:v>
      </x:c>
      <x:c r="D38" s="7" t="str">
        <x:v>Codex</x:v>
      </x:c>
      <x:c r="E38" s="7" t="str">
        <x:v>In Progress</x:v>
      </x:c>
      <x:c r="F38" s="7" t="str">
        <x:v>P1</x:v>
      </x:c>
      <x:c r="G38" s="51" t="n">
        <x:v>46284.5</x:v>
      </x:c>
      <x:c r="H38" s="51" t="n">
        <x:v>46370.5</x:v>
      </x:c>
      <x:c r="I38" s="11" t="n">
        <x:f t="shared" si="1">IF(OR(G38="",H38="",H38&lt;G38),"",H38-G38+1)</x:f>
        <x:v>87</x:v>
      </x:c>
      <x:c r="J38" s="15"/>
      <x:c r="K38" s="12" t="n">
        <x:f t="shared" si="6">IF(OR($G38="",$H38="",$H38&lt;$G38),"",IF(AND(K$9&lt;=$H38,K$9+6&gt;=$G38),1,""))</x:f>
        <x:v>1</x:v>
      </x:c>
      <x:c r="L38" s="13" t="n">
        <x:f t="shared" si="6">IF(OR($G38="",$H38="",$H38&lt;$G38),"",IF(AND(L$9&lt;=$H38,L$9+6&gt;=$G38),1,""))</x:f>
        <x:v>1</x:v>
      </x:c>
      <x:c r="M38" s="12" t="n">
        <x:f t="shared" si="6">IF(OR($G38="",$H38="",$H38&lt;$G38),"",IF(AND(M$9&lt;=$H38,M$9+6&gt;=$G38),1,""))</x:f>
        <x:v>1</x:v>
      </x:c>
      <x:c r="N38" s="13" t="n">
        <x:f t="shared" si="6">IF(OR($G38="",$H38="",$H38&lt;$G38),"",IF(AND(N$9&lt;=$H38,N$9+6&gt;=$G38),1,""))</x:f>
        <x:v>1</x:v>
      </x:c>
      <x:c r="O38" s="12" t="n">
        <x:f t="shared" si="6">IF(OR($G38="",$H38="",$H38&lt;$G38),"",IF(AND(O$9&lt;=$H38,O$9+6&gt;=$G38),1,""))</x:f>
        <x:v>1</x:v>
      </x:c>
      <x:c r="P38" s="13" t="n">
        <x:f t="shared" si="6">IF(OR($G38="",$H38="",$H38&lt;$G38),"",IF(AND(P$9&lt;=$H38,P$9+6&gt;=$G38),1,""))</x:f>
        <x:v>1</x:v>
      </x:c>
      <x:c r="Q38" s="12" t="n">
        <x:f t="shared" si="6">IF(OR($G38="",$H38="",$H38&lt;$G38),"",IF(AND(Q$9&lt;=$H38,Q$9+6&gt;=$G38),1,""))</x:f>
        <x:v>1</x:v>
      </x:c>
      <x:c r="R38" s="13" t="n">
        <x:f t="shared" si="6">IF(OR($G38="",$H38="",$H38&lt;$G38),"",IF(AND(R$9&lt;=$H38,R$9+6&gt;=$G38),1,""))</x:f>
        <x:v>1</x:v>
      </x:c>
      <x:c r="S38" s="12" t="n">
        <x:f t="shared" si="6">IF(OR($G38="",$H38="",$H38&lt;$G38),"",IF(AND(S$9&lt;=$H38,S$9+6&gt;=$G38),1,""))</x:f>
        <x:v>1</x:v>
      </x:c>
      <x:c r="T38" s="13" t="n">
        <x:f t="shared" si="6">IF(OR($G38="",$H38="",$H38&lt;$G38),"",IF(AND(T$9&lt;=$H38,T$9+6&gt;=$G38),1,""))</x:f>
        <x:v>1</x:v>
      </x:c>
      <x:c r="U38" s="12" t="n">
        <x:f t="shared" si="7">IF(OR($G38="",$H38="",$H38&lt;$G38),"",IF(AND(U$9&lt;=$H38,U$9+6&gt;=$G38),1,""))</x:f>
        <x:v>1</x:v>
      </x:c>
      <x:c r="V38" s="13" t="n">
        <x:f t="shared" si="7">IF(OR($G38="",$H38="",$H38&lt;$G38),"",IF(AND(V$9&lt;=$H38,V$9+6&gt;=$G38),1,""))</x:f>
        <x:v>1</x:v>
      </x:c>
      <x:c r="W38" s="12" t="n">
        <x:f t="shared" si="7">IF(OR($G38="",$H38="",$H38&lt;$G38),"",IF(AND(W$9&lt;=$H38,W$9+6&gt;=$G38),1,""))</x:f>
        <x:v>1</x:v>
      </x:c>
      <x:c r="X38" s="13" t="n">
        <x:f t="shared" si="7">IF(OR($G38="",$H38="",$H38&lt;$G38),"",IF(AND(X$9&lt;=$H38,X$9+6&gt;=$G38),1,""))</x:f>
        <x:v>1</x:v>
      </x:c>
      <x:c r="Y38" s="12" t="str">
        <x:f t="shared" si="7">IF(OR($G38="",$H38="",$H38&lt;$G38),"",IF(AND(Y$9&lt;=$H38,Y$9+6&gt;=$G38),1,""))</x:f>
      </x:c>
      <x:c r="Z38" s="13" t="str">
        <x:f t="shared" si="7">IF(OR($G38="",$H38="",$H38&lt;$G38),"",IF(AND(Z$9&lt;=$H38,Z$9+6&gt;=$G38),1,""))</x:f>
      </x:c>
      <x:c r="AA38" s="12" t="str">
        <x:f t="shared" si="7">IF(OR($G38="",$H38="",$H38&lt;$G38),"",IF(AND(AA$9&lt;=$H38,AA$9+6&gt;=$G38),1,""))</x:f>
      </x:c>
      <x:c r="AB38" s="13" t="str">
        <x:f t="shared" si="7">IF(OR($G38="",$H38="",$H38&lt;$G38),"",IF(AND(AB$9&lt;=$H38,AB$9+6&gt;=$G38),1,""))</x:f>
      </x:c>
      <x:c r="AC38" s="12" t="str">
        <x:f t="shared" si="7">IF(OR($G38="",$H38="",$H38&lt;$G38),"",IF(AND(AC$9&lt;=$H38,AC$9+6&gt;=$G38),1,""))</x:f>
      </x:c>
      <x:c r="AD38" s="13" t="str">
        <x:f t="shared" si="7">IF(OR($G38="",$H38="",$H38&lt;$G38),"",IF(AND(AD$9&lt;=$H38,AD$9+6&gt;=$G38),1,""))</x:f>
      </x:c>
    </x:row>
    <x:row r="39">
      <x:c r="B39" s="6" t="str">
        <x:v>Decisión</x:v>
      </x:c>
      <x:c r="C39" s="3" t="str">
        <x:v>Reordenar prioridades tras la ventana de 28 días</x:v>
      </x:c>
      <x:c r="D39" s="8" t="str">
        <x:v>Jonathan + Codex</x:v>
      </x:c>
      <x:c r="E39" s="8" t="str">
        <x:v>Not Started</x:v>
      </x:c>
      <x:c r="F39" s="8" t="str">
        <x:v>P1</x:v>
      </x:c>
      <x:c r="G39" s="50" t="n">
        <x:v>46307.5</x:v>
      </x:c>
      <x:c r="H39" s="50" t="n">
        <x:v>46311.5</x:v>
      </x:c>
      <x:c r="I39" s="11" t="n">
        <x:f t="shared" si="1">IF(OR(G39="",H39="",H39&lt;G39),"",H39-G39+1)</x:f>
        <x:v>5</x:v>
      </x:c>
      <x:c r="J39" s="15"/>
      <x:c r="K39" s="12" t="str">
        <x:f t="shared" si="6">IF(OR($G39="",$H39="",$H39&lt;$G39),"",IF(AND(K$9&lt;=$H39,K$9+6&gt;=$G39),1,""))</x:f>
      </x:c>
      <x:c r="L39" s="13" t="str">
        <x:f t="shared" si="6">IF(OR($G39="",$H39="",$H39&lt;$G39),"",IF(AND(L$9&lt;=$H39,L$9+6&gt;=$G39),1,""))</x:f>
      </x:c>
      <x:c r="M39" s="12" t="str">
        <x:f t="shared" si="6">IF(OR($G39="",$H39="",$H39&lt;$G39),"",IF(AND(M$9&lt;=$H39,M$9+6&gt;=$G39),1,""))</x:f>
      </x:c>
      <x:c r="N39" s="13" t="str">
        <x:f t="shared" si="6">IF(OR($G39="",$H39="",$H39&lt;$G39),"",IF(AND(N$9&lt;=$H39,N$9+6&gt;=$G39),1,""))</x:f>
      </x:c>
      <x:c r="O39" s="12" t="n">
        <x:f t="shared" si="6">IF(OR($G39="",$H39="",$H39&lt;$G39),"",IF(AND(O$9&lt;=$H39,O$9+6&gt;=$G39),1,""))</x:f>
        <x:v>1</x:v>
      </x:c>
      <x:c r="P39" s="13" t="str">
        <x:f t="shared" si="6">IF(OR($G39="",$H39="",$H39&lt;$G39),"",IF(AND(P$9&lt;=$H39,P$9+6&gt;=$G39),1,""))</x:f>
      </x:c>
      <x:c r="Q39" s="12" t="str">
        <x:f t="shared" si="6">IF(OR($G39="",$H39="",$H39&lt;$G39),"",IF(AND(Q$9&lt;=$H39,Q$9+6&gt;=$G39),1,""))</x:f>
      </x:c>
      <x:c r="R39" s="13" t="str">
        <x:f t="shared" si="6">IF(OR($G39="",$H39="",$H39&lt;$G39),"",IF(AND(R$9&lt;=$H39,R$9+6&gt;=$G39),1,""))</x:f>
      </x:c>
      <x:c r="S39" s="12" t="str">
        <x:f t="shared" si="6">IF(OR($G39="",$H39="",$H39&lt;$G39),"",IF(AND(S$9&lt;=$H39,S$9+6&gt;=$G39),1,""))</x:f>
      </x:c>
      <x:c r="T39" s="13" t="str">
        <x:f t="shared" si="6">IF(OR($G39="",$H39="",$H39&lt;$G39),"",IF(AND(T$9&lt;=$H39,T$9+6&gt;=$G39),1,""))</x:f>
      </x:c>
      <x:c r="U39" s="12" t="str">
        <x:f t="shared" si="7">IF(OR($G39="",$H39="",$H39&lt;$G39),"",IF(AND(U$9&lt;=$H39,U$9+6&gt;=$G39),1,""))</x:f>
      </x:c>
      <x:c r="V39" s="13" t="str">
        <x:f t="shared" si="7">IF(OR($G39="",$H39="",$H39&lt;$G39),"",IF(AND(V$9&lt;=$H39,V$9+6&gt;=$G39),1,""))</x:f>
      </x:c>
      <x:c r="W39" s="12" t="str">
        <x:f t="shared" si="7">IF(OR($G39="",$H39="",$H39&lt;$G39),"",IF(AND(W$9&lt;=$H39,W$9+6&gt;=$G39),1,""))</x:f>
      </x:c>
      <x:c r="X39" s="13" t="str">
        <x:f t="shared" si="7">IF(OR($G39="",$H39="",$H39&lt;$G39),"",IF(AND(X$9&lt;=$H39,X$9+6&gt;=$G39),1,""))</x:f>
      </x:c>
      <x:c r="Y39" s="12" t="str">
        <x:f t="shared" si="7">IF(OR($G39="",$H39="",$H39&lt;$G39),"",IF(AND(Y$9&lt;=$H39,Y$9+6&gt;=$G39),1,""))</x:f>
      </x:c>
      <x:c r="Z39" s="13" t="str">
        <x:f t="shared" si="7">IF(OR($G39="",$H39="",$H39&lt;$G39),"",IF(AND(Z$9&lt;=$H39,Z$9+6&gt;=$G39),1,""))</x:f>
      </x:c>
      <x:c r="AA39" s="12" t="str">
        <x:f t="shared" si="7">IF(OR($G39="",$H39="",$H39&lt;$G39),"",IF(AND(AA$9&lt;=$H39,AA$9+6&gt;=$G39),1,""))</x:f>
      </x:c>
      <x:c r="AB39" s="13" t="str">
        <x:f t="shared" si="7">IF(OR($G39="",$H39="",$H39&lt;$G39),"",IF(AND(AB$9&lt;=$H39,AB$9+6&gt;=$G39),1,""))</x:f>
      </x:c>
      <x:c r="AC39" s="12" t="str">
        <x:f t="shared" si="7">IF(OR($G39="",$H39="",$H39&lt;$G39),"",IF(AND(AC$9&lt;=$H39,AC$9+6&gt;=$G39),1,""))</x:f>
      </x:c>
      <x:c r="AD39" s="13" t="str">
        <x:f t="shared" si="7">IF(OR($G39="",$H39="",$H39&lt;$G39),"",IF(AND(AD$9&lt;=$H39,AD$9+6&gt;=$G39),1,""))</x:f>
      </x:c>
    </x:row>
    <x:row r="40">
      <x:c r="B40" s="15" t="str">
        <x:v>SEO e indexación</x:v>
      </x:c>
      <x:c r="C40" s="15" t="str">
        <x:v>Auditar enlaces internos legacy y rich results</x:v>
      </x:c>
      <x:c r="D40" s="15" t="str">
        <x:v>Codex</x:v>
      </x:c>
      <x:c r="E40" s="15" t="str">
        <x:v>Not Started</x:v>
      </x:c>
      <x:c r="F40" s="15" t="str">
        <x:v>P1</x:v>
      </x:c>
      <x:c r="G40" s="59" t="n">
        <x:v>46286.5</x:v>
      </x:c>
      <x:c r="H40" s="59" t="n">
        <x:v>46304.5</x:v>
      </x:c>
      <x:c r="I40" s="15" t="n">
        <x:f>IF(OR(G40="",H40="",H40&lt;G40),"",H40-G40+1)</x:f>
        <x:v>19</x:v>
      </x:c>
      <x:c r="J40" s="15"/>
      <x:c r="K40" s="15" t="str">
        <x:f>IF(OR($G40="",$H40="",$H40&lt;$G40),"",IF(AND(K$9&lt;=$H40,K$9+6&gt;=$G40),1,""))</x:f>
      </x:c>
      <x:c r="L40" s="15" t="n">
        <x:f>IF(OR($G40="",$H40="",$H40&lt;$G40),"",IF(AND(L$9&lt;=$H40,L$9+6&gt;=$G40),1,""))</x:f>
        <x:v>1</x:v>
      </x:c>
      <x:c r="M40" s="15" t="n">
        <x:f>IF(OR($G40="",$H40="",$H40&lt;$G40),"",IF(AND(M$9&lt;=$H40,M$9+6&gt;=$G40),1,""))</x:f>
        <x:v>1</x:v>
      </x:c>
      <x:c r="N40" s="15" t="n">
        <x:f>IF(OR($G40="",$H40="",$H40&lt;$G40),"",IF(AND(N$9&lt;=$H40,N$9+6&gt;=$G40),1,""))</x:f>
        <x:v>1</x:v>
      </x:c>
      <x:c r="O40" s="15" t="str">
        <x:f>IF(OR($G40="",$H40="",$H40&lt;$G40),"",IF(AND(O$9&lt;=$H40,O$9+6&gt;=$G40),1,""))</x:f>
      </x:c>
      <x:c r="P40" s="15" t="str">
        <x:f>IF(OR($G40="",$H40="",$H40&lt;$G40),"",IF(AND(P$9&lt;=$H40,P$9+6&gt;=$G40),1,""))</x:f>
      </x:c>
      <x:c r="Q40" s="15" t="str">
        <x:f>IF(OR($G40="",$H40="",$H40&lt;$G40),"",IF(AND(Q$9&lt;=$H40,Q$9+6&gt;=$G40),1,""))</x:f>
      </x:c>
      <x:c r="R40" s="15" t="str">
        <x:f>IF(OR($G40="",$H40="",$H40&lt;$G40),"",IF(AND(R$9&lt;=$H40,R$9+6&gt;=$G40),1,""))</x:f>
      </x:c>
      <x:c r="S40" s="15" t="str">
        <x:f>IF(OR($G40="",$H40="",$H40&lt;$G40),"",IF(AND(S$9&lt;=$H40,S$9+6&gt;=$G40),1,""))</x:f>
      </x:c>
      <x:c r="T40" s="15" t="str">
        <x:f>IF(OR($G40="",$H40="",$H40&lt;$G40),"",IF(AND(T$9&lt;=$H40,T$9+6&gt;=$G40),1,""))</x:f>
      </x:c>
      <x:c r="U40" s="15" t="str">
        <x:f>IF(OR($G40="",$H40="",$H40&lt;$G40),"",IF(AND(U$9&lt;=$H40,U$9+6&gt;=$G40),1,""))</x:f>
      </x:c>
      <x:c r="V40" s="15" t="str">
        <x:f>IF(OR($G40="",$H40="",$H40&lt;$G40),"",IF(AND(V$9&lt;=$H40,V$9+6&gt;=$G40),1,""))</x:f>
      </x:c>
      <x:c r="W40" s="15" t="str">
        <x:f>IF(OR($G40="",$H40="",$H40&lt;$G40),"",IF(AND(W$9&lt;=$H40,W$9+6&gt;=$G40),1,""))</x:f>
      </x:c>
      <x:c r="X40" s="15" t="str">
        <x:f>IF(OR($G40="",$H40="",$H40&lt;$G40),"",IF(AND(X$9&lt;=$H40,X$9+6&gt;=$G40),1,""))</x:f>
      </x:c>
      <x:c r="Y40" s="15" t="str">
        <x:f>IF(OR($G40="",$H40="",$H40&lt;$G40),"",IF(AND(Y$9&lt;=$H40,Y$9+6&gt;=$G40),1,""))</x:f>
      </x:c>
      <x:c r="Z40" s="15" t="str">
        <x:f>IF(OR($G40="",$H40="",$H40&lt;$G40),"",IF(AND(Z$9&lt;=$H40,Z$9+6&gt;=$G40),1,""))</x:f>
      </x:c>
      <x:c r="AA40" s="15" t="str">
        <x:f>IF(OR($G40="",$H40="",$H40&lt;$G40),"",IF(AND(AA$9&lt;=$H40,AA$9+6&gt;=$G40),1,""))</x:f>
      </x:c>
      <x:c r="AB40" s="15" t="str">
        <x:f>IF(OR($G40="",$H40="",$H40&lt;$G40),"",IF(AND(AB$9&lt;=$H40,AB$9+6&gt;=$G40),1,""))</x:f>
      </x:c>
      <x:c r="AC40" s="15" t="str">
        <x:f>IF(OR($G40="",$H40="",$H40&lt;$G40),"",IF(AND(AC$9&lt;=$H40,AC$9+6&gt;=$G40),1,""))</x:f>
      </x:c>
      <x:c r="AD40" s="15" t="str">
        <x:f>IF(OR($G40="",$H40="",$H40&lt;$G40),"",IF(AND(AD$9&lt;=$H40,AD$9+6&gt;=$G40),1,""))</x:f>
      </x:c>
    </x:row>
    <x:row r="41" ht="32" customHeight="1">
      <x:c r="B41" s="65" t="str">
        <x:v>AdSense</x:v>
      </x:c>
      <x:c r="C41" s="63" t="str">
        <x:v>G18 Comprobar cuenta AdSense y país de pagos</x:v>
      </x:c>
      <x:c r="D41" s="66" t="str">
        <x:v>Jonathan + Codex</x:v>
      </x:c>
      <x:c r="E41" s="66" t="str">
        <x:v>In Progress</x:v>
      </x:c>
      <x:c r="F41" s="66" t="str">
        <x:v>P1</x:v>
      </x:c>
      <x:c r="G41" s="68" t="n">
        <x:v>46292.5</x:v>
      </x:c>
      <x:c r="H41" s="68" t="n">
        <x:v>46296.5</x:v>
      </x:c>
      <x:c r="I41" s="69" t="n">
        <x:f>IF(OR(G41="",H41="",H41&lt;G41),"",H41-G41+1)</x:f>
        <x:v>5</x:v>
      </x:c>
      <x:c r="J41"/>
      <x:c r="K41" s="70" t="str">
        <x:f>IF(OR($G41="",$H41="",$H41&lt;$G41),"",IF(AND(K$9&lt;=$H41,K$9+6&gt;=$G41),1,""))</x:f>
      </x:c>
      <x:c r="L41" s="70" t="n">
        <x:f>IF(OR($G41="",$H41="",$H41&lt;$G41),"",IF(AND(L$9&lt;=$H41,L$9+6&gt;=$G41),1,""))</x:f>
        <x:v>1</x:v>
      </x:c>
      <x:c r="M41" s="70" t="n">
        <x:f>IF(OR($G41="",$H41="",$H41&lt;$G41),"",IF(AND(M$9&lt;=$H41,M$9+6&gt;=$G41),1,""))</x:f>
        <x:v>1</x:v>
      </x:c>
      <x:c r="N41" s="70" t="str">
        <x:f>IF(OR($G41="",$H41="",$H41&lt;$G41),"",IF(AND(N$9&lt;=$H41,N$9+6&gt;=$G41),1,""))</x:f>
      </x:c>
      <x:c r="O41" s="70" t="str">
        <x:f>IF(OR($G41="",$H41="",$H41&lt;$G41),"",IF(AND(O$9&lt;=$H41,O$9+6&gt;=$G41),1,""))</x:f>
      </x:c>
      <x:c r="P41" s="70" t="str">
        <x:f>IF(OR($G41="",$H41="",$H41&lt;$G41),"",IF(AND(P$9&lt;=$H41,P$9+6&gt;=$G41),1,""))</x:f>
      </x:c>
      <x:c r="Q41" s="70" t="str">
        <x:f>IF(OR($G41="",$H41="",$H41&lt;$G41),"",IF(AND(Q$9&lt;=$H41,Q$9+6&gt;=$G41),1,""))</x:f>
      </x:c>
      <x:c r="R41" s="70" t="str">
        <x:f>IF(OR($G41="",$H41="",$H41&lt;$G41),"",IF(AND(R$9&lt;=$H41,R$9+6&gt;=$G41),1,""))</x:f>
      </x:c>
      <x:c r="S41" s="70" t="str">
        <x:f>IF(OR($G41="",$H41="",$H41&lt;$G41),"",IF(AND(S$9&lt;=$H41,S$9+6&gt;=$G41),1,""))</x:f>
      </x:c>
      <x:c r="T41" s="70" t="str">
        <x:f>IF(OR($G41="",$H41="",$H41&lt;$G41),"",IF(AND(T$9&lt;=$H41,T$9+6&gt;=$G41),1,""))</x:f>
      </x:c>
      <x:c r="U41" s="70" t="str">
        <x:f>IF(OR($G41="",$H41="",$H41&lt;$G41),"",IF(AND(U$9&lt;=$H41,U$9+6&gt;=$G41),1,""))</x:f>
      </x:c>
      <x:c r="V41" s="70" t="str">
        <x:f>IF(OR($G41="",$H41="",$H41&lt;$G41),"",IF(AND(V$9&lt;=$H41,V$9+6&gt;=$G41),1,""))</x:f>
      </x:c>
      <x:c r="W41" s="70" t="str">
        <x:f>IF(OR($G41="",$H41="",$H41&lt;$G41),"",IF(AND(W$9&lt;=$H41,W$9+6&gt;=$G41),1,""))</x:f>
      </x:c>
      <x:c r="X41" s="70" t="str">
        <x:f>IF(OR($G41="",$H41="",$H41&lt;$G41),"",IF(AND(X$9&lt;=$H41,X$9+6&gt;=$G41),1,""))</x:f>
      </x:c>
      <x:c r="Y41" s="70" t="str">
        <x:f>IF(OR($G41="",$H41="",$H41&lt;$G41),"",IF(AND(Y$9&lt;=$H41,Y$9+6&gt;=$G41),1,""))</x:f>
      </x:c>
      <x:c r="Z41" s="70" t="str">
        <x:f>IF(OR($G41="",$H41="",$H41&lt;$G41),"",IF(AND(Z$9&lt;=$H41,Z$9+6&gt;=$G41),1,""))</x:f>
      </x:c>
      <x:c r="AA41" s="70" t="str">
        <x:f>IF(OR($G41="",$H41="",$H41&lt;$G41),"",IF(AND(AA$9&lt;=$H41,AA$9+6&gt;=$G41),1,""))</x:f>
      </x:c>
      <x:c r="AB41" s="70" t="str">
        <x:f>IF(OR($G41="",$H41="",$H41&lt;$G41),"",IF(AND(AB$9&lt;=$H41,AB$9+6&gt;=$G41),1,""))</x:f>
      </x:c>
      <x:c r="AC41" s="70" t="str">
        <x:f>IF(OR($G41="",$H41="",$H41&lt;$G41),"",IF(AND(AC$9&lt;=$H41,AC$9+6&gt;=$G41),1,""))</x:f>
      </x:c>
      <x:c r="AD41" s="70" t="str">
        <x:f>IF(OR($G41="",$H41="",$H41&lt;$G41),"",IF(AND(AD$9&lt;=$H41,AD$9+6&gt;=$G41),1,""))</x:f>
      </x:c>
    </x:row>
    <x:row r="42" ht="32" customHeight="1">
      <x:c r="B42" s="65" t="str">
        <x:v>AdSense</x:v>
      </x:c>
      <x:c r="C42" s="63" t="str">
        <x:v>G19 Auditar contenido original y derechos de uso</x:v>
      </x:c>
      <x:c r="D42" s="66" t="str">
        <x:v>Codex</x:v>
      </x:c>
      <x:c r="E42" s="66" t="str">
        <x:v>In Progress</x:v>
      </x:c>
      <x:c r="F42" s="66" t="str">
        <x:v>P1</x:v>
      </x:c>
      <x:c r="G42" s="68" t="n">
        <x:v>46292.5</x:v>
      </x:c>
      <x:c r="H42" s="68" t="n">
        <x:v>46297.5</x:v>
      </x:c>
      <x:c r="I42" s="69" t="n">
        <x:f>IF(OR(G42="",H42="",H42&lt;G42),"",H42-G42+1)</x:f>
        <x:v>6</x:v>
      </x:c>
      <x:c r="J42"/>
      <x:c r="K42" s="70" t="str">
        <x:f>IF(OR($G42="",$H42="",$H42&lt;$G42),"",IF(AND(K$9&lt;=$H42,K$9+6&gt;=$G42),1,""))</x:f>
      </x:c>
      <x:c r="L42" s="70" t="n">
        <x:f>IF(OR($G42="",$H42="",$H42&lt;$G42),"",IF(AND(L$9&lt;=$H42,L$9+6&gt;=$G42),1,""))</x:f>
        <x:v>1</x:v>
      </x:c>
      <x:c r="M42" s="70" t="n">
        <x:f>IF(OR($G42="",$H42="",$H42&lt;$G42),"",IF(AND(M$9&lt;=$H42,M$9+6&gt;=$G42),1,""))</x:f>
        <x:v>1</x:v>
      </x:c>
      <x:c r="N42" s="70" t="str">
        <x:f>IF(OR($G42="",$H42="",$H42&lt;$G42),"",IF(AND(N$9&lt;=$H42,N$9+6&gt;=$G42),1,""))</x:f>
      </x:c>
      <x:c r="O42" s="70" t="str">
        <x:f>IF(OR($G42="",$H42="",$H42&lt;$G42),"",IF(AND(O$9&lt;=$H42,O$9+6&gt;=$G42),1,""))</x:f>
      </x:c>
      <x:c r="P42" s="70" t="str">
        <x:f>IF(OR($G42="",$H42="",$H42&lt;$G42),"",IF(AND(P$9&lt;=$H42,P$9+6&gt;=$G42),1,""))</x:f>
      </x:c>
      <x:c r="Q42" s="70" t="str">
        <x:f>IF(OR($G42="",$H42="",$H42&lt;$G42),"",IF(AND(Q$9&lt;=$H42,Q$9+6&gt;=$G42),1,""))</x:f>
      </x:c>
      <x:c r="R42" s="70" t="str">
        <x:f>IF(OR($G42="",$H42="",$H42&lt;$G42),"",IF(AND(R$9&lt;=$H42,R$9+6&gt;=$G42),1,""))</x:f>
      </x:c>
      <x:c r="S42" s="70" t="str">
        <x:f>IF(OR($G42="",$H42="",$H42&lt;$G42),"",IF(AND(S$9&lt;=$H42,S$9+6&gt;=$G42),1,""))</x:f>
      </x:c>
      <x:c r="T42" s="70" t="str">
        <x:f>IF(OR($G42="",$H42="",$H42&lt;$G42),"",IF(AND(T$9&lt;=$H42,T$9+6&gt;=$G42),1,""))</x:f>
      </x:c>
      <x:c r="U42" s="70" t="str">
        <x:f>IF(OR($G42="",$H42="",$H42&lt;$G42),"",IF(AND(U$9&lt;=$H42,U$9+6&gt;=$G42),1,""))</x:f>
      </x:c>
      <x:c r="V42" s="70" t="str">
        <x:f>IF(OR($G42="",$H42="",$H42&lt;$G42),"",IF(AND(V$9&lt;=$H42,V$9+6&gt;=$G42),1,""))</x:f>
      </x:c>
      <x:c r="W42" s="70" t="str">
        <x:f>IF(OR($G42="",$H42="",$H42&lt;$G42),"",IF(AND(W$9&lt;=$H42,W$9+6&gt;=$G42),1,""))</x:f>
      </x:c>
      <x:c r="X42" s="70" t="str">
        <x:f>IF(OR($G42="",$H42="",$H42&lt;$G42),"",IF(AND(X$9&lt;=$H42,X$9+6&gt;=$G42),1,""))</x:f>
      </x:c>
      <x:c r="Y42" s="70" t="str">
        <x:f>IF(OR($G42="",$H42="",$H42&lt;$G42),"",IF(AND(Y$9&lt;=$H42,Y$9+6&gt;=$G42),1,""))</x:f>
      </x:c>
      <x:c r="Z42" s="70" t="str">
        <x:f>IF(OR($G42="",$H42="",$H42&lt;$G42),"",IF(AND(Z$9&lt;=$H42,Z$9+6&gt;=$G42),1,""))</x:f>
      </x:c>
      <x:c r="AA42" s="70" t="str">
        <x:f>IF(OR($G42="",$H42="",$H42&lt;$G42),"",IF(AND(AA$9&lt;=$H42,AA$9+6&gt;=$G42),1,""))</x:f>
      </x:c>
      <x:c r="AB42" s="70" t="str">
        <x:f>IF(OR($G42="",$H42="",$H42&lt;$G42),"",IF(AND(AB$9&lt;=$H42,AB$9+6&gt;=$G42),1,""))</x:f>
      </x:c>
      <x:c r="AC42" s="70" t="str">
        <x:f>IF(OR($G42="",$H42="",$H42&lt;$G42),"",IF(AND(AC$9&lt;=$H42,AC$9+6&gt;=$G42),1,""))</x:f>
      </x:c>
      <x:c r="AD42" s="70" t="str">
        <x:f>IF(OR($G42="",$H42="",$H42&lt;$G42),"",IF(AND(AD$9&lt;=$H42,AD$9+6&gt;=$G42),1,""))</x:f>
      </x:c>
    </x:row>
    <x:row r="43" ht="32" customHeight="1">
      <x:c r="B43" s="65" t="str">
        <x:v>AdSense</x:v>
      </x:c>
      <x:c r="C43" s="63" t="str">
        <x:v>G20 Mejorar tres contenidos originales prioritarios</x:v>
      </x:c>
      <x:c r="D43" s="66" t="str">
        <x:v>Jonathan + Codex</x:v>
      </x:c>
      <x:c r="E43" s="66" t="str">
        <x:v>In Progress</x:v>
      </x:c>
      <x:c r="F43" s="66" t="str">
        <x:v>P1</x:v>
      </x:c>
      <x:c r="G43" s="68" t="n">
        <x:v>46292.5</x:v>
      </x:c>
      <x:c r="H43" s="68" t="n">
        <x:v>46302.5</x:v>
      </x:c>
      <x:c r="I43" s="69" t="n">
        <x:f>IF(OR(G43="",H43="",H43&lt;G43),"",H43-G43+1)</x:f>
        <x:v>11</x:v>
      </x:c>
      <x:c r="J43"/>
      <x:c r="K43" s="70" t="str">
        <x:f>IF(OR($G43="",$H43="",$H43&lt;$G43),"",IF(AND(K$9&lt;=$H43,K$9+6&gt;=$G43),1,""))</x:f>
      </x:c>
      <x:c r="L43" s="70" t="n">
        <x:f>IF(OR($G43="",$H43="",$H43&lt;$G43),"",IF(AND(L$9&lt;=$H43,L$9+6&gt;=$G43),1,""))</x:f>
        <x:v>1</x:v>
      </x:c>
      <x:c r="M43" s="70" t="n">
        <x:f>IF(OR($G43="",$H43="",$H43&lt;$G43),"",IF(AND(M$9&lt;=$H43,M$9+6&gt;=$G43),1,""))</x:f>
        <x:v>1</x:v>
      </x:c>
      <x:c r="N43" s="70" t="n">
        <x:f>IF(OR($G43="",$H43="",$H43&lt;$G43),"",IF(AND(N$9&lt;=$H43,N$9+6&gt;=$G43),1,""))</x:f>
        <x:v>1</x:v>
      </x:c>
      <x:c r="O43" s="70" t="str">
        <x:f>IF(OR($G43="",$H43="",$H43&lt;$G43),"",IF(AND(O$9&lt;=$H43,O$9+6&gt;=$G43),1,""))</x:f>
      </x:c>
      <x:c r="P43" s="70" t="str">
        <x:f>IF(OR($G43="",$H43="",$H43&lt;$G43),"",IF(AND(P$9&lt;=$H43,P$9+6&gt;=$G43),1,""))</x:f>
      </x:c>
      <x:c r="Q43" s="70" t="str">
        <x:f>IF(OR($G43="",$H43="",$H43&lt;$G43),"",IF(AND(Q$9&lt;=$H43,Q$9+6&gt;=$G43),1,""))</x:f>
      </x:c>
      <x:c r="R43" s="70" t="str">
        <x:f>IF(OR($G43="",$H43="",$H43&lt;$G43),"",IF(AND(R$9&lt;=$H43,R$9+6&gt;=$G43),1,""))</x:f>
      </x:c>
      <x:c r="S43" s="70" t="str">
        <x:f>IF(OR($G43="",$H43="",$H43&lt;$G43),"",IF(AND(S$9&lt;=$H43,S$9+6&gt;=$G43),1,""))</x:f>
      </x:c>
      <x:c r="T43" s="70" t="str">
        <x:f>IF(OR($G43="",$H43="",$H43&lt;$G43),"",IF(AND(T$9&lt;=$H43,T$9+6&gt;=$G43),1,""))</x:f>
      </x:c>
      <x:c r="U43" s="70" t="str">
        <x:f>IF(OR($G43="",$H43="",$H43&lt;$G43),"",IF(AND(U$9&lt;=$H43,U$9+6&gt;=$G43),1,""))</x:f>
      </x:c>
      <x:c r="V43" s="70" t="str">
        <x:f>IF(OR($G43="",$H43="",$H43&lt;$G43),"",IF(AND(V$9&lt;=$H43,V$9+6&gt;=$G43),1,""))</x:f>
      </x:c>
      <x:c r="W43" s="70" t="str">
        <x:f>IF(OR($G43="",$H43="",$H43&lt;$G43),"",IF(AND(W$9&lt;=$H43,W$9+6&gt;=$G43),1,""))</x:f>
      </x:c>
      <x:c r="X43" s="70" t="str">
        <x:f>IF(OR($G43="",$H43="",$H43&lt;$G43),"",IF(AND(X$9&lt;=$H43,X$9+6&gt;=$G43),1,""))</x:f>
      </x:c>
      <x:c r="Y43" s="70" t="str">
        <x:f>IF(OR($G43="",$H43="",$H43&lt;$G43),"",IF(AND(Y$9&lt;=$H43,Y$9+6&gt;=$G43),1,""))</x:f>
      </x:c>
      <x:c r="Z43" s="70" t="str">
        <x:f>IF(OR($G43="",$H43="",$H43&lt;$G43),"",IF(AND(Z$9&lt;=$H43,Z$9+6&gt;=$G43),1,""))</x:f>
      </x:c>
      <x:c r="AA43" s="70" t="str">
        <x:f>IF(OR($G43="",$H43="",$H43&lt;$G43),"",IF(AND(AA$9&lt;=$H43,AA$9+6&gt;=$G43),1,""))</x:f>
      </x:c>
      <x:c r="AB43" s="70" t="str">
        <x:f>IF(OR($G43="",$H43="",$H43&lt;$G43),"",IF(AND(AB$9&lt;=$H43,AB$9+6&gt;=$G43),1,""))</x:f>
      </x:c>
      <x:c r="AC43" s="70" t="str">
        <x:f>IF(OR($G43="",$H43="",$H43&lt;$G43),"",IF(AND(AC$9&lt;=$H43,AC$9+6&gt;=$G43),1,""))</x:f>
      </x:c>
      <x:c r="AD43" s="70" t="str">
        <x:f>IF(OR($G43="",$H43="",$H43&lt;$G43),"",IF(AND(AD$9&lt;=$H43,AD$9+6&gt;=$G43),1,""))</x:f>
      </x:c>
    </x:row>
    <x:row r="44" ht="32" customHeight="1">
      <x:c r="B44" s="65" t="str">
        <x:v>AdSense</x:v>
      </x:c>
      <x:c r="C44" s="63" t="str">
        <x:v>G21 Actualizar privacidad contacto y consentimiento</x:v>
      </x:c>
      <x:c r="D44" s="66" t="str">
        <x:v>Jonathan + Codex</x:v>
      </x:c>
      <x:c r="E44" s="66" t="str">
        <x:v>In Progress</x:v>
      </x:c>
      <x:c r="F44" s="66" t="str">
        <x:v>P1</x:v>
      </x:c>
      <x:c r="G44" s="68" t="n">
        <x:v>46292.5</x:v>
      </x:c>
      <x:c r="H44" s="68" t="n">
        <x:v>46302.5</x:v>
      </x:c>
      <x:c r="I44" s="69" t="n">
        <x:f>IF(OR(G44="",H44="",H44&lt;G44),"",H44-G44+1)</x:f>
        <x:v>11</x:v>
      </x:c>
      <x:c r="J44"/>
      <x:c r="K44" s="70" t="str">
        <x:f>IF(OR($G44="",$H44="",$H44&lt;$G44),"",IF(AND(K$9&lt;=$H44,K$9+6&gt;=$G44),1,""))</x:f>
      </x:c>
      <x:c r="L44" s="70" t="n">
        <x:f>IF(OR($G44="",$H44="",$H44&lt;$G44),"",IF(AND(L$9&lt;=$H44,L$9+6&gt;=$G44),1,""))</x:f>
        <x:v>1</x:v>
      </x:c>
      <x:c r="M44" s="70" t="n">
        <x:f>IF(OR($G44="",$H44="",$H44&lt;$G44),"",IF(AND(M$9&lt;=$H44,M$9+6&gt;=$G44),1,""))</x:f>
        <x:v>1</x:v>
      </x:c>
      <x:c r="N44" s="70" t="n">
        <x:f>IF(OR($G44="",$H44="",$H44&lt;$G44),"",IF(AND(N$9&lt;=$H44,N$9+6&gt;=$G44),1,""))</x:f>
        <x:v>1</x:v>
      </x:c>
      <x:c r="O44" s="70" t="str">
        <x:f>IF(OR($G44="",$H44="",$H44&lt;$G44),"",IF(AND(O$9&lt;=$H44,O$9+6&gt;=$G44),1,""))</x:f>
      </x:c>
      <x:c r="P44" s="70" t="str">
        <x:f>IF(OR($G44="",$H44="",$H44&lt;$G44),"",IF(AND(P$9&lt;=$H44,P$9+6&gt;=$G44),1,""))</x:f>
      </x:c>
      <x:c r="Q44" s="70" t="str">
        <x:f>IF(OR($G44="",$H44="",$H44&lt;$G44),"",IF(AND(Q$9&lt;=$H44,Q$9+6&gt;=$G44),1,""))</x:f>
      </x:c>
      <x:c r="R44" s="70" t="str">
        <x:f>IF(OR($G44="",$H44="",$H44&lt;$G44),"",IF(AND(R$9&lt;=$H44,R$9+6&gt;=$G44),1,""))</x:f>
      </x:c>
      <x:c r="S44" s="70" t="str">
        <x:f>IF(OR($G44="",$H44="",$H44&lt;$G44),"",IF(AND(S$9&lt;=$H44,S$9+6&gt;=$G44),1,""))</x:f>
      </x:c>
      <x:c r="T44" s="70" t="str">
        <x:f>IF(OR($G44="",$H44="",$H44&lt;$G44),"",IF(AND(T$9&lt;=$H44,T$9+6&gt;=$G44),1,""))</x:f>
      </x:c>
      <x:c r="U44" s="70" t="str">
        <x:f>IF(OR($G44="",$H44="",$H44&lt;$G44),"",IF(AND(U$9&lt;=$H44,U$9+6&gt;=$G44),1,""))</x:f>
      </x:c>
      <x:c r="V44" s="70" t="str">
        <x:f>IF(OR($G44="",$H44="",$H44&lt;$G44),"",IF(AND(V$9&lt;=$H44,V$9+6&gt;=$G44),1,""))</x:f>
      </x:c>
      <x:c r="W44" s="70" t="str">
        <x:f>IF(OR($G44="",$H44="",$H44&lt;$G44),"",IF(AND(W$9&lt;=$H44,W$9+6&gt;=$G44),1,""))</x:f>
      </x:c>
      <x:c r="X44" s="70" t="str">
        <x:f>IF(OR($G44="",$H44="",$H44&lt;$G44),"",IF(AND(X$9&lt;=$H44,X$9+6&gt;=$G44),1,""))</x:f>
      </x:c>
      <x:c r="Y44" s="70" t="str">
        <x:f>IF(OR($G44="",$H44="",$H44&lt;$G44),"",IF(AND(Y$9&lt;=$H44,Y$9+6&gt;=$G44),1,""))</x:f>
      </x:c>
      <x:c r="Z44" s="70" t="str">
        <x:f>IF(OR($G44="",$H44="",$H44&lt;$G44),"",IF(AND(Z$9&lt;=$H44,Z$9+6&gt;=$G44),1,""))</x:f>
      </x:c>
      <x:c r="AA44" s="70" t="str">
        <x:f>IF(OR($G44="",$H44="",$H44&lt;$G44),"",IF(AND(AA$9&lt;=$H44,AA$9+6&gt;=$G44),1,""))</x:f>
      </x:c>
      <x:c r="AB44" s="70" t="str">
        <x:f>IF(OR($G44="",$H44="",$H44&lt;$G44),"",IF(AND(AB$9&lt;=$H44,AB$9+6&gt;=$G44),1,""))</x:f>
      </x:c>
      <x:c r="AC44" s="70" t="str">
        <x:f>IF(OR($G44="",$H44="",$H44&lt;$G44),"",IF(AND(AC$9&lt;=$H44,AC$9+6&gt;=$G44),1,""))</x:f>
      </x:c>
      <x:c r="AD44" s="70" t="str">
        <x:f>IF(OR($G44="",$H44="",$H44&lt;$G44),"",IF(AND(AD$9&lt;=$H44,AD$9+6&gt;=$G44),1,""))</x:f>
      </x:c>
    </x:row>
    <x:row r="45" ht="32" customHeight="1">
      <x:c r="B45" s="65" t="str">
        <x:v>AdSense</x:v>
      </x:c>
      <x:c r="C45" s="63" t="str">
        <x:v>G22 Verificar dominio AdSense y ads.txt</x:v>
      </x:c>
      <x:c r="D45" s="66" t="str">
        <x:v>Codex</x:v>
      </x:c>
      <x:c r="E45" s="66" t="str">
        <x:v>Not Started</x:v>
      </x:c>
      <x:c r="F45" s="66" t="str">
        <x:v>P1</x:v>
      </x:c>
      <x:c r="G45" s="68" t="n">
        <x:v>46300.5</x:v>
      </x:c>
      <x:c r="H45" s="68" t="n">
        <x:v>46303.5</x:v>
      </x:c>
      <x:c r="I45" s="69" t="n">
        <x:f>IF(OR(G45="",H45="",H45&lt;G45),"",H45-G45+1)</x:f>
        <x:v>4</x:v>
      </x:c>
      <x:c r="J45"/>
      <x:c r="K45" s="70" t="str">
        <x:f>IF(OR($G45="",$H45="",$H45&lt;$G45),"",IF(AND(K$9&lt;=$H45,K$9+6&gt;=$G45),1,""))</x:f>
      </x:c>
      <x:c r="L45" s="70" t="str">
        <x:f>IF(OR($G45="",$H45="",$H45&lt;$G45),"",IF(AND(L$9&lt;=$H45,L$9+6&gt;=$G45),1,""))</x:f>
      </x:c>
      <x:c r="M45" s="70" t="str">
        <x:f>IF(OR($G45="",$H45="",$H45&lt;$G45),"",IF(AND(M$9&lt;=$H45,M$9+6&gt;=$G45),1,""))</x:f>
      </x:c>
      <x:c r="N45" s="70" t="n">
        <x:f>IF(OR($G45="",$H45="",$H45&lt;$G45),"",IF(AND(N$9&lt;=$H45,N$9+6&gt;=$G45),1,""))</x:f>
        <x:v>1</x:v>
      </x:c>
      <x:c r="O45" s="70" t="str">
        <x:f>IF(OR($G45="",$H45="",$H45&lt;$G45),"",IF(AND(O$9&lt;=$H45,O$9+6&gt;=$G45),1,""))</x:f>
      </x:c>
      <x:c r="P45" s="70" t="str">
        <x:f>IF(OR($G45="",$H45="",$H45&lt;$G45),"",IF(AND(P$9&lt;=$H45,P$9+6&gt;=$G45),1,""))</x:f>
      </x:c>
      <x:c r="Q45" s="70" t="str">
        <x:f>IF(OR($G45="",$H45="",$H45&lt;$G45),"",IF(AND(Q$9&lt;=$H45,Q$9+6&gt;=$G45),1,""))</x:f>
      </x:c>
      <x:c r="R45" s="70" t="str">
        <x:f>IF(OR($G45="",$H45="",$H45&lt;$G45),"",IF(AND(R$9&lt;=$H45,R$9+6&gt;=$G45),1,""))</x:f>
      </x:c>
      <x:c r="S45" s="70" t="str">
        <x:f>IF(OR($G45="",$H45="",$H45&lt;$G45),"",IF(AND(S$9&lt;=$H45,S$9+6&gt;=$G45),1,""))</x:f>
      </x:c>
      <x:c r="T45" s="70" t="str">
        <x:f>IF(OR($G45="",$H45="",$H45&lt;$G45),"",IF(AND(T$9&lt;=$H45,T$9+6&gt;=$G45),1,""))</x:f>
      </x:c>
      <x:c r="U45" s="70" t="str">
        <x:f>IF(OR($G45="",$H45="",$H45&lt;$G45),"",IF(AND(U$9&lt;=$H45,U$9+6&gt;=$G45),1,""))</x:f>
      </x:c>
      <x:c r="V45" s="70" t="str">
        <x:f>IF(OR($G45="",$H45="",$H45&lt;$G45),"",IF(AND(V$9&lt;=$H45,V$9+6&gt;=$G45),1,""))</x:f>
      </x:c>
      <x:c r="W45" s="70" t="str">
        <x:f>IF(OR($G45="",$H45="",$H45&lt;$G45),"",IF(AND(W$9&lt;=$H45,W$9+6&gt;=$G45),1,""))</x:f>
      </x:c>
      <x:c r="X45" s="70" t="str">
        <x:f>IF(OR($G45="",$H45="",$H45&lt;$G45),"",IF(AND(X$9&lt;=$H45,X$9+6&gt;=$G45),1,""))</x:f>
      </x:c>
      <x:c r="Y45" s="70" t="str">
        <x:f>IF(OR($G45="",$H45="",$H45&lt;$G45),"",IF(AND(Y$9&lt;=$H45,Y$9+6&gt;=$G45),1,""))</x:f>
      </x:c>
      <x:c r="Z45" s="70" t="str">
        <x:f>IF(OR($G45="",$H45="",$H45&lt;$G45),"",IF(AND(Z$9&lt;=$H45,Z$9+6&gt;=$G45),1,""))</x:f>
      </x:c>
      <x:c r="AA45" s="70" t="str">
        <x:f>IF(OR($G45="",$H45="",$H45&lt;$G45),"",IF(AND(AA$9&lt;=$H45,AA$9+6&gt;=$G45),1,""))</x:f>
      </x:c>
      <x:c r="AB45" s="70" t="str">
        <x:f>IF(OR($G45="",$H45="",$H45&lt;$G45),"",IF(AND(AB$9&lt;=$H45,AB$9+6&gt;=$G45),1,""))</x:f>
      </x:c>
      <x:c r="AC45" s="70" t="str">
        <x:f>IF(OR($G45="",$H45="",$H45&lt;$G45),"",IF(AND(AC$9&lt;=$H45,AC$9+6&gt;=$G45),1,""))</x:f>
      </x:c>
      <x:c r="AD45" s="70" t="str">
        <x:f>IF(OR($G45="",$H45="",$H45&lt;$G45),"",IF(AND(AD$9&lt;=$H45,AD$9+6&gt;=$G45),1,""))</x:f>
      </x:c>
    </x:row>
    <x:row r="46" ht="32" customHeight="1">
      <x:c r="B46" s="65" t="str">
        <x:v>AdSense</x:v>
      </x:c>
      <x:c r="C46" s="63" t="str">
        <x:v>G23 Preparar espacios de anuncios y validar experiencia</x:v>
      </x:c>
      <x:c r="D46" s="66" t="str">
        <x:v>Codex</x:v>
      </x:c>
      <x:c r="E46" s="66" t="str">
        <x:v>Not Started</x:v>
      </x:c>
      <x:c r="F46" s="66" t="str">
        <x:v>P2</x:v>
      </x:c>
      <x:c r="G46" s="68" t="n">
        <x:v>46300.5</x:v>
      </x:c>
      <x:c r="H46" s="68" t="n">
        <x:v>46304.5</x:v>
      </x:c>
      <x:c r="I46" s="69" t="n">
        <x:f>IF(OR(G46="",H46="",H46&lt;G46),"",H46-G46+1)</x:f>
        <x:v>5</x:v>
      </x:c>
      <x:c r="J46"/>
      <x:c r="K46" s="70" t="str">
        <x:f>IF(OR($G46="",$H46="",$H46&lt;$G46),"",IF(AND(K$9&lt;=$H46,K$9+6&gt;=$G46),1,""))</x:f>
      </x:c>
      <x:c r="L46" s="70" t="str">
        <x:f>IF(OR($G46="",$H46="",$H46&lt;$G46),"",IF(AND(L$9&lt;=$H46,L$9+6&gt;=$G46),1,""))</x:f>
      </x:c>
      <x:c r="M46" s="70" t="str">
        <x:f>IF(OR($G46="",$H46="",$H46&lt;$G46),"",IF(AND(M$9&lt;=$H46,M$9+6&gt;=$G46),1,""))</x:f>
      </x:c>
      <x:c r="N46" s="70" t="n">
        <x:f>IF(OR($G46="",$H46="",$H46&lt;$G46),"",IF(AND(N$9&lt;=$H46,N$9+6&gt;=$G46),1,""))</x:f>
        <x:v>1</x:v>
      </x:c>
      <x:c r="O46" s="70" t="str">
        <x:f>IF(OR($G46="",$H46="",$H46&lt;$G46),"",IF(AND(O$9&lt;=$H46,O$9+6&gt;=$G46),1,""))</x:f>
      </x:c>
      <x:c r="P46" s="70" t="str">
        <x:f>IF(OR($G46="",$H46="",$H46&lt;$G46),"",IF(AND(P$9&lt;=$H46,P$9+6&gt;=$G46),1,""))</x:f>
      </x:c>
      <x:c r="Q46" s="70" t="str">
        <x:f>IF(OR($G46="",$H46="",$H46&lt;$G46),"",IF(AND(Q$9&lt;=$H46,Q$9+6&gt;=$G46),1,""))</x:f>
      </x:c>
      <x:c r="R46" s="70" t="str">
        <x:f>IF(OR($G46="",$H46="",$H46&lt;$G46),"",IF(AND(R$9&lt;=$H46,R$9+6&gt;=$G46),1,""))</x:f>
      </x:c>
      <x:c r="S46" s="70" t="str">
        <x:f>IF(OR($G46="",$H46="",$H46&lt;$G46),"",IF(AND(S$9&lt;=$H46,S$9+6&gt;=$G46),1,""))</x:f>
      </x:c>
      <x:c r="T46" s="70" t="str">
        <x:f>IF(OR($G46="",$H46="",$H46&lt;$G46),"",IF(AND(T$9&lt;=$H46,T$9+6&gt;=$G46),1,""))</x:f>
      </x:c>
      <x:c r="U46" s="70" t="str">
        <x:f>IF(OR($G46="",$H46="",$H46&lt;$G46),"",IF(AND(U$9&lt;=$H46,U$9+6&gt;=$G46),1,""))</x:f>
      </x:c>
      <x:c r="V46" s="70" t="str">
        <x:f>IF(OR($G46="",$H46="",$H46&lt;$G46),"",IF(AND(V$9&lt;=$H46,V$9+6&gt;=$G46),1,""))</x:f>
      </x:c>
      <x:c r="W46" s="70" t="str">
        <x:f>IF(OR($G46="",$H46="",$H46&lt;$G46),"",IF(AND(W$9&lt;=$H46,W$9+6&gt;=$G46),1,""))</x:f>
      </x:c>
      <x:c r="X46" s="70" t="str">
        <x:f>IF(OR($G46="",$H46="",$H46&lt;$G46),"",IF(AND(X$9&lt;=$H46,X$9+6&gt;=$G46),1,""))</x:f>
      </x:c>
      <x:c r="Y46" s="70" t="str">
        <x:f>IF(OR($G46="",$H46="",$H46&lt;$G46),"",IF(AND(Y$9&lt;=$H46,Y$9+6&gt;=$G46),1,""))</x:f>
      </x:c>
      <x:c r="Z46" s="70" t="str">
        <x:f>IF(OR($G46="",$H46="",$H46&lt;$G46),"",IF(AND(Z$9&lt;=$H46,Z$9+6&gt;=$G46),1,""))</x:f>
      </x:c>
      <x:c r="AA46" s="70" t="str">
        <x:f>IF(OR($G46="",$H46="",$H46&lt;$G46),"",IF(AND(AA$9&lt;=$H46,AA$9+6&gt;=$G46),1,""))</x:f>
      </x:c>
      <x:c r="AB46" s="70" t="str">
        <x:f>IF(OR($G46="",$H46="",$H46&lt;$G46),"",IF(AND(AB$9&lt;=$H46,AB$9+6&gt;=$G46),1,""))</x:f>
      </x:c>
      <x:c r="AC46" s="70" t="str">
        <x:f>IF(OR($G46="",$H46="",$H46&lt;$G46),"",IF(AND(AC$9&lt;=$H46,AC$9+6&gt;=$G46),1,""))</x:f>
      </x:c>
      <x:c r="AD46" s="70" t="str">
        <x:f>IF(OR($G46="",$H46="",$H46&lt;$G46),"",IF(AND(AD$9&lt;=$H46,AD$9+6&gt;=$G46),1,""))</x:f>
      </x:c>
    </x:row>
    <x:row r="47" ht="32" customHeight="1">
      <x:c r="B47" s="65" t="str">
        <x:v>AdSense</x:v>
      </x:c>
      <x:c r="C47" s="63" t="str">
        <x:v>G24 Completar revisión final y solicitar AdSense</x:v>
      </x:c>
      <x:c r="D47" s="66" t="str">
        <x:v>Jonathan + Codex</x:v>
      </x:c>
      <x:c r="E47" s="66" t="str">
        <x:v>Not Started</x:v>
      </x:c>
      <x:c r="F47" s="66" t="str">
        <x:v>P2</x:v>
      </x:c>
      <x:c r="G47" s="68" t="n">
        <x:v>46304.5</x:v>
      </x:c>
      <x:c r="H47" s="68" t="n">
        <x:v>46307.5</x:v>
      </x:c>
      <x:c r="I47" s="69" t="n">
        <x:f>IF(OR(G47="",H47="",H47&lt;G47),"",H47-G47+1)</x:f>
        <x:v>4</x:v>
      </x:c>
      <x:c r="J47"/>
      <x:c r="K47" s="70" t="str">
        <x:f>IF(OR($G47="",$H47="",$H47&lt;$G47),"",IF(AND(K$9&lt;=$H47,K$9+6&gt;=$G47),1,""))</x:f>
      </x:c>
      <x:c r="L47" s="70" t="str">
        <x:f>IF(OR($G47="",$H47="",$H47&lt;$G47),"",IF(AND(L$9&lt;=$H47,L$9+6&gt;=$G47),1,""))</x:f>
      </x:c>
      <x:c r="M47" s="70" t="str">
        <x:f>IF(OR($G47="",$H47="",$H47&lt;$G47),"",IF(AND(M$9&lt;=$H47,M$9+6&gt;=$G47),1,""))</x:f>
      </x:c>
      <x:c r="N47" s="70" t="n">
        <x:f>IF(OR($G47="",$H47="",$H47&lt;$G47),"",IF(AND(N$9&lt;=$H47,N$9+6&gt;=$G47),1,""))</x:f>
        <x:v>1</x:v>
      </x:c>
      <x:c r="O47" s="70" t="n">
        <x:f>IF(OR($G47="",$H47="",$H47&lt;$G47),"",IF(AND(O$9&lt;=$H47,O$9+6&gt;=$G47),1,""))</x:f>
        <x:v>1</x:v>
      </x:c>
      <x:c r="P47" s="70" t="str">
        <x:f>IF(OR($G47="",$H47="",$H47&lt;$G47),"",IF(AND(P$9&lt;=$H47,P$9+6&gt;=$G47),1,""))</x:f>
      </x:c>
      <x:c r="Q47" s="70" t="str">
        <x:f>IF(OR($G47="",$H47="",$H47&lt;$G47),"",IF(AND(Q$9&lt;=$H47,Q$9+6&gt;=$G47),1,""))</x:f>
      </x:c>
      <x:c r="R47" s="70" t="str">
        <x:f>IF(OR($G47="",$H47="",$H47&lt;$G47),"",IF(AND(R$9&lt;=$H47,R$9+6&gt;=$G47),1,""))</x:f>
      </x:c>
      <x:c r="S47" s="70" t="str">
        <x:f>IF(OR($G47="",$H47="",$H47&lt;$G47),"",IF(AND(S$9&lt;=$H47,S$9+6&gt;=$G47),1,""))</x:f>
      </x:c>
      <x:c r="T47" s="70" t="str">
        <x:f>IF(OR($G47="",$H47="",$H47&lt;$G47),"",IF(AND(T$9&lt;=$H47,T$9+6&gt;=$G47),1,""))</x:f>
      </x:c>
      <x:c r="U47" s="70" t="str">
        <x:f>IF(OR($G47="",$H47="",$H47&lt;$G47),"",IF(AND(U$9&lt;=$H47,U$9+6&gt;=$G47),1,""))</x:f>
      </x:c>
      <x:c r="V47" s="70" t="str">
        <x:f>IF(OR($G47="",$H47="",$H47&lt;$G47),"",IF(AND(V$9&lt;=$H47,V$9+6&gt;=$G47),1,""))</x:f>
      </x:c>
      <x:c r="W47" s="70" t="str">
        <x:f>IF(OR($G47="",$H47="",$H47&lt;$G47),"",IF(AND(W$9&lt;=$H47,W$9+6&gt;=$G47),1,""))</x:f>
      </x:c>
      <x:c r="X47" s="70" t="str">
        <x:f>IF(OR($G47="",$H47="",$H47&lt;$G47),"",IF(AND(X$9&lt;=$H47,X$9+6&gt;=$G47),1,""))</x:f>
      </x:c>
      <x:c r="Y47" s="70" t="str">
        <x:f>IF(OR($G47="",$H47="",$H47&lt;$G47),"",IF(AND(Y$9&lt;=$H47,Y$9+6&gt;=$G47),1,""))</x:f>
      </x:c>
      <x:c r="Z47" s="70" t="str">
        <x:f>IF(OR($G47="",$H47="",$H47&lt;$G47),"",IF(AND(Z$9&lt;=$H47,Z$9+6&gt;=$G47),1,""))</x:f>
      </x:c>
      <x:c r="AA47" s="70" t="str">
        <x:f>IF(OR($G47="",$H47="",$H47&lt;$G47),"",IF(AND(AA$9&lt;=$H47,AA$9+6&gt;=$G47),1,""))</x:f>
      </x:c>
      <x:c r="AB47" s="70" t="str">
        <x:f>IF(OR($G47="",$H47="",$H47&lt;$G47),"",IF(AND(AB$9&lt;=$H47,AB$9+6&gt;=$G47),1,""))</x:f>
      </x:c>
      <x:c r="AC47" s="70" t="str">
        <x:f>IF(OR($G47="",$H47="",$H47&lt;$G47),"",IF(AND(AC$9&lt;=$H47,AC$9+6&gt;=$G47),1,""))</x:f>
      </x:c>
      <x:c r="AD47" s="70" t="str">
        <x:f>IF(OR($G47="",$H47="",$H47&lt;$G47),"",IF(AND(AD$9&lt;=$H47,AD$9+6&gt;=$G47),1,""))</x:f>
      </x:c>
    </x:row>
    <x:row r="48" ht="32" customHeight="1">
      <x:c r="B48" s="65" t="str">
        <x:v>AdSense</x:v>
      </x:c>
      <x:c r="C48" s="63" t="str">
        <x:v>G25 Medir piloto publicitario tras aprobación</x:v>
      </x:c>
      <x:c r="D48" s="66" t="str">
        <x:v>Jonathan + Codex</x:v>
      </x:c>
      <x:c r="E48" s="66" t="str">
        <x:v>Not Started</x:v>
      </x:c>
      <x:c r="F48" s="66" t="str">
        <x:v>P2</x:v>
      </x:c>
      <x:c r="G48" s="68" t="n">
        <x:v>46308.5</x:v>
      </x:c>
      <x:c r="H48" s="68" t="n">
        <x:v>46335.5</x:v>
      </x:c>
      <x:c r="I48" s="69" t="n">
        <x:f>IF(OR(G48="",H48="",H48&lt;G48),"",H48-G48+1)</x:f>
        <x:v>28</x:v>
      </x:c>
      <x:c r="J48"/>
      <x:c r="K48" s="70" t="str">
        <x:f>IF(OR($G48="",$H48="",$H48&lt;$G48),"",IF(AND(K$9&lt;=$H48,K$9+6&gt;=$G48),1,""))</x:f>
      </x:c>
      <x:c r="L48" s="70" t="str">
        <x:f>IF(OR($G48="",$H48="",$H48&lt;$G48),"",IF(AND(L$9&lt;=$H48,L$9+6&gt;=$G48),1,""))</x:f>
      </x:c>
      <x:c r="M48" s="70" t="str">
        <x:f>IF(OR($G48="",$H48="",$H48&lt;$G48),"",IF(AND(M$9&lt;=$H48,M$9+6&gt;=$G48),1,""))</x:f>
      </x:c>
      <x:c r="N48" s="70" t="str">
        <x:f>IF(OR($G48="",$H48="",$H48&lt;$G48),"",IF(AND(N$9&lt;=$H48,N$9+6&gt;=$G48),1,""))</x:f>
      </x:c>
      <x:c r="O48" s="70" t="n">
        <x:f>IF(OR($G48="",$H48="",$H48&lt;$G48),"",IF(AND(O$9&lt;=$H48,O$9+6&gt;=$G48),1,""))</x:f>
        <x:v>1</x:v>
      </x:c>
      <x:c r="P48" s="70" t="n">
        <x:f>IF(OR($G48="",$H48="",$H48&lt;$G48),"",IF(AND(P$9&lt;=$H48,P$9+6&gt;=$G48),1,""))</x:f>
        <x:v>1</x:v>
      </x:c>
      <x:c r="Q48" s="70" t="n">
        <x:f>IF(OR($G48="",$H48="",$H48&lt;$G48),"",IF(AND(Q$9&lt;=$H48,Q$9+6&gt;=$G48),1,""))</x:f>
        <x:v>1</x:v>
      </x:c>
      <x:c r="R48" s="70" t="n">
        <x:f>IF(OR($G48="",$H48="",$H48&lt;$G48),"",IF(AND(R$9&lt;=$H48,R$9+6&gt;=$G48),1,""))</x:f>
        <x:v>1</x:v>
      </x:c>
      <x:c r="S48" s="70" t="n">
        <x:f>IF(OR($G48="",$H48="",$H48&lt;$G48),"",IF(AND(S$9&lt;=$H48,S$9+6&gt;=$G48),1,""))</x:f>
        <x:v>1</x:v>
      </x:c>
      <x:c r="T48" s="70" t="str">
        <x:f>IF(OR($G48="",$H48="",$H48&lt;$G48),"",IF(AND(T$9&lt;=$H48,T$9+6&gt;=$G48),1,""))</x:f>
      </x:c>
      <x:c r="U48" s="70" t="str">
        <x:f>IF(OR($G48="",$H48="",$H48&lt;$G48),"",IF(AND(U$9&lt;=$H48,U$9+6&gt;=$G48),1,""))</x:f>
      </x:c>
      <x:c r="V48" s="70" t="str">
        <x:f>IF(OR($G48="",$H48="",$H48&lt;$G48),"",IF(AND(V$9&lt;=$H48,V$9+6&gt;=$G48),1,""))</x:f>
      </x:c>
      <x:c r="W48" s="70" t="str">
        <x:f>IF(OR($G48="",$H48="",$H48&lt;$G48),"",IF(AND(W$9&lt;=$H48,W$9+6&gt;=$G48),1,""))</x:f>
      </x:c>
      <x:c r="X48" s="70" t="str">
        <x:f>IF(OR($G48="",$H48="",$H48&lt;$G48),"",IF(AND(X$9&lt;=$H48,X$9+6&gt;=$G48),1,""))</x:f>
      </x:c>
      <x:c r="Y48" s="70" t="str">
        <x:f>IF(OR($G48="",$H48="",$H48&lt;$G48),"",IF(AND(Y$9&lt;=$H48,Y$9+6&gt;=$G48),1,""))</x:f>
      </x:c>
      <x:c r="Z48" s="70" t="str">
        <x:f>IF(OR($G48="",$H48="",$H48&lt;$G48),"",IF(AND(Z$9&lt;=$H48,Z$9+6&gt;=$G48),1,""))</x:f>
      </x:c>
      <x:c r="AA48" s="70" t="str">
        <x:f>IF(OR($G48="",$H48="",$H48&lt;$G48),"",IF(AND(AA$9&lt;=$H48,AA$9+6&gt;=$G48),1,""))</x:f>
      </x:c>
      <x:c r="AB48" s="70" t="str">
        <x:f>IF(OR($G48="",$H48="",$H48&lt;$G48),"",IF(AND(AB$9&lt;=$H48,AB$9+6&gt;=$G48),1,""))</x:f>
      </x:c>
      <x:c r="AC48" s="70" t="str">
        <x:f>IF(OR($G48="",$H48="",$H48&lt;$G48),"",IF(AND(AC$9&lt;=$H48,AC$9+6&gt;=$G48),1,""))</x:f>
      </x:c>
      <x:c r="AD48" s="70" t="str">
        <x:f>IF(OR($G48="",$H48="",$H48&lt;$G48),"",IF(AND(AD$9&lt;=$H48,AD$9+6&gt;=$G48),1,""))</x:f>
      </x:c>
    </x:row>
    <x:row r="49" ht="32" customHeight="1">
      <x:c r="B49" s="65" t="str">
        <x:v>AdSense</x:v>
      </x:c>
      <x:c r="C49" s="63" t="str">
        <x:v>G26 Decidir continuidad de anuncios y monetización</x:v>
      </x:c>
      <x:c r="D49" s="66" t="str">
        <x:v>Jonathan + Codex</x:v>
      </x:c>
      <x:c r="E49" s="66" t="str">
        <x:v>Not Started</x:v>
      </x:c>
      <x:c r="F49" s="66" t="str">
        <x:v>P2</x:v>
      </x:c>
      <x:c r="G49" s="68" t="n">
        <x:v>46336.5</x:v>
      </x:c>
      <x:c r="H49" s="68" t="n">
        <x:v>46338.5</x:v>
      </x:c>
      <x:c r="I49" s="69" t="n">
        <x:f>IF(OR(G49="",H49="",H49&lt;G49),"",H49-G49+1)</x:f>
        <x:v>3</x:v>
      </x:c>
      <x:c r="J49"/>
      <x:c r="K49" s="70" t="str">
        <x:f>IF(OR($G49="",$H49="",$H49&lt;$G49),"",IF(AND(K$9&lt;=$H49,K$9+6&gt;=$G49),1,""))</x:f>
      </x:c>
      <x:c r="L49" s="70" t="str">
        <x:f>IF(OR($G49="",$H49="",$H49&lt;$G49),"",IF(AND(L$9&lt;=$H49,L$9+6&gt;=$G49),1,""))</x:f>
      </x:c>
      <x:c r="M49" s="70" t="str">
        <x:f>IF(OR($G49="",$H49="",$H49&lt;$G49),"",IF(AND(M$9&lt;=$H49,M$9+6&gt;=$G49),1,""))</x:f>
      </x:c>
      <x:c r="N49" s="70" t="str">
        <x:f>IF(OR($G49="",$H49="",$H49&lt;$G49),"",IF(AND(N$9&lt;=$H49,N$9+6&gt;=$G49),1,""))</x:f>
      </x:c>
      <x:c r="O49" s="70" t="str">
        <x:f>IF(OR($G49="",$H49="",$H49&lt;$G49),"",IF(AND(O$9&lt;=$H49,O$9+6&gt;=$G49),1,""))</x:f>
      </x:c>
      <x:c r="P49" s="70" t="str">
        <x:f>IF(OR($G49="",$H49="",$H49&lt;$G49),"",IF(AND(P$9&lt;=$H49,P$9+6&gt;=$G49),1,""))</x:f>
      </x:c>
      <x:c r="Q49" s="70" t="str">
        <x:f>IF(OR($G49="",$H49="",$H49&lt;$G49),"",IF(AND(Q$9&lt;=$H49,Q$9+6&gt;=$G49),1,""))</x:f>
      </x:c>
      <x:c r="R49" s="70" t="str">
        <x:f>IF(OR($G49="",$H49="",$H49&lt;$G49),"",IF(AND(R$9&lt;=$H49,R$9+6&gt;=$G49),1,""))</x:f>
      </x:c>
      <x:c r="S49" s="70" t="n">
        <x:f>IF(OR($G49="",$H49="",$H49&lt;$G49),"",IF(AND(S$9&lt;=$H49,S$9+6&gt;=$G49),1,""))</x:f>
        <x:v>1</x:v>
      </x:c>
      <x:c r="T49" s="70" t="str">
        <x:f>IF(OR($G49="",$H49="",$H49&lt;$G49),"",IF(AND(T$9&lt;=$H49,T$9+6&gt;=$G49),1,""))</x:f>
      </x:c>
      <x:c r="U49" s="70" t="str">
        <x:f>IF(OR($G49="",$H49="",$H49&lt;$G49),"",IF(AND(U$9&lt;=$H49,U$9+6&gt;=$G49),1,""))</x:f>
      </x:c>
      <x:c r="V49" s="70" t="str">
        <x:f>IF(OR($G49="",$H49="",$H49&lt;$G49),"",IF(AND(V$9&lt;=$H49,V$9+6&gt;=$G49),1,""))</x:f>
      </x:c>
      <x:c r="W49" s="70" t="str">
        <x:f>IF(OR($G49="",$H49="",$H49&lt;$G49),"",IF(AND(W$9&lt;=$H49,W$9+6&gt;=$G49),1,""))</x:f>
      </x:c>
      <x:c r="X49" s="70" t="str">
        <x:f>IF(OR($G49="",$H49="",$H49&lt;$G49),"",IF(AND(X$9&lt;=$H49,X$9+6&gt;=$G49),1,""))</x:f>
      </x:c>
      <x:c r="Y49" s="70" t="str">
        <x:f>IF(OR($G49="",$H49="",$H49&lt;$G49),"",IF(AND(Y$9&lt;=$H49,Y$9+6&gt;=$G49),1,""))</x:f>
      </x:c>
      <x:c r="Z49" s="70" t="str">
        <x:f>IF(OR($G49="",$H49="",$H49&lt;$G49),"",IF(AND(Z$9&lt;=$H49,Z$9+6&gt;=$G49),1,""))</x:f>
      </x:c>
      <x:c r="AA49" s="70" t="str">
        <x:f>IF(OR($G49="",$H49="",$H49&lt;$G49),"",IF(AND(AA$9&lt;=$H49,AA$9+6&gt;=$G49),1,""))</x:f>
      </x:c>
      <x:c r="AB49" s="70" t="str">
        <x:f>IF(OR($G49="",$H49="",$H49&lt;$G49),"",IF(AND(AB$9&lt;=$H49,AB$9+6&gt;=$G49),1,""))</x:f>
      </x:c>
      <x:c r="AC49" s="70" t="str">
        <x:f>IF(OR($G49="",$H49="",$H49&lt;$G49),"",IF(AND(AC$9&lt;=$H49,AC$9+6&gt;=$G49),1,""))</x:f>
      </x:c>
      <x:c r="AD49" s="70" t="str">
        <x:f>IF(OR($G49="",$H49="",$H49&lt;$G49),"",IF(AND(AD$9&lt;=$H49,AD$9+6&gt;=$G49),1,""))</x:f>
      </x:c>
    </x:row>
    <x:row r="50" ht="72" customHeight="1">
      <x:c r="B50" s="61" t="str">
        <x:v>Fuentes: REVISION-Y-PLAN.md; BACKLOG.csv; METRICAS.csv; VALIDACION.md; Search Console y GA4 consultados el 21/09/2026. GSC 23/08–19/09 vs 26/07–22/08: 296 vs 192 clics, 14 mil vs 9,55 mil impresiones, CTR 2,1% vs 2,0%, posición 8,4 vs 8,5. Auditoría GSC: 3.187 indexadas / 326 no indexadas; sitemap correcto con 29 páginas descubiertas; HTTPS 31/0; 2 enlaces externos y 7.751 internos; 662 oportunidades Merchant; sin acciones manuales ni problemas de seguridad; sin datos CrUX. GA4 24/08–20/09: 143 usuarios, 512 eventos, 178 page_view y 18 click; generate_lead aún no aparece. Jev 21/09: embudo/CTA 64% (confianza 0,56); enlaces/rich results 39% y asociación GA4 32% como segundo orden (confianza 0,23); Merchant 6% y outreach 26% a favor. G07 pasa a P0/en curso; G17 a P1. Las fechas futuras son planificación y se revisan semanalmente. G02 25/09: 64/47.727 ofertas disponibles con observación ≤24 h antes del ciclo medido; 80 observaciones persistidas en 11 tiendas en run 36164068314; despacho automático verificado en runs 36165637147 y 36166218562. G02 sigue en observación; próxima revisión tras siete ciclos útiles medidos el 03/10. Fuente: VALIDACION.md y FRESCURA-TIENDAS-2026-09-25.csv. Actualización 27/09/2026: PLAN-ADSENSE-2026-09-27.md y BACKLOG.csv G18–G26. Fechas propuestas y dependientes de cuenta, contenido, privacidad y aprobación externa; anuncios no activos. Cuenta existente confirmada por Jonathan; país y método de cobro requieren comprobación. Fuente de políticas: https://support.google.com/adsense/answer/9724?hl=es. QVL y difusión conservan sus cortes históricos. Corte 27/09: G21 iniciado, consentimiento GA4 básico y política implementados; 19 pruebas y navegador local desktop/móvil verificados. Publicación, recepción del contacto y CMP de anuncios pendientes. G19 mantiene revisión y registro de derechos pendiente. No aprobado para AdSense. Corte 27/09: G20 en revisión. Tres piezas con metodología y fuentes preparadas; 43 pruebas, lint y build. G21: 20 pruebas y flujo público de consentimiento desktop/móvil verificado después de corregir configuración servidor/navegador. Falta revisión humana, registro de derechos, recepción de contacto, perfil de pagos y CMP. Solicitud no enviada.</x:v>
      </x:c>
      <x:c r="C50" s="61"/>
      <x:c r="D50" s="61"/>
      <x:c r="E50" s="61"/>
      <x:c r="F50" s="61"/>
      <x:c r="G50" s="61"/>
      <x:c r="H50" s="61"/>
      <x:c r="I50" s="61"/>
      <x:c r="J50" s="61"/>
      <x:c r="K50" s="61"/>
      <x:c r="L50" s="61"/>
      <x:c r="M50" s="61"/>
      <x:c r="N50" s="61"/>
      <x:c r="O50" s="61"/>
      <x:c r="P50" s="61"/>
      <x:c r="Q50" s="61"/>
      <x:c r="R50" s="61"/>
      <x:c r="S50" s="61"/>
      <x:c r="T50" s="61"/>
      <x:c r="U50" s="61"/>
      <x:c r="V50" s="61"/>
      <x:c r="W50" s="61"/>
      <x:c r="X50" s="61"/>
      <x:c r="Y50" s="61"/>
      <x:c r="Z50" s="61"/>
      <x:c r="AA50" s="61"/>
      <x:c r="AB50" s="61"/>
      <x:c r="AC50" s="61"/>
      <x:c r="AD50" s="61"/>
    </x:row>
    <x:row r="51" ht="72" customHeight="1">
      <x:c r="B51" s="61"/>
      <x:c r="C51" s="61"/>
      <x:c r="D51" s="61"/>
      <x:c r="E51" s="61"/>
      <x:c r="F51" s="61"/>
      <x:c r="G51" s="61"/>
      <x:c r="H51" s="61"/>
      <x:c r="I51" s="61"/>
      <x:c r="J51" s="61"/>
      <x:c r="K51" s="61"/>
      <x:c r="L51" s="61"/>
      <x:c r="M51" s="61"/>
      <x:c r="N51" s="61"/>
      <x:c r="O51" s="61"/>
      <x:c r="P51" s="61"/>
      <x:c r="Q51" s="61"/>
      <x:c r="R51" s="61"/>
      <x:c r="S51" s="61"/>
      <x:c r="T51" s="61"/>
      <x:c r="U51" s="61"/>
      <x:c r="V51" s="61"/>
      <x:c r="W51" s="61"/>
      <x:c r="X51" s="61"/>
      <x:c r="Y51" s="61"/>
      <x:c r="Z51" s="61"/>
      <x:c r="AA51" s="61"/>
      <x:c r="AB51" s="61"/>
      <x:c r="AC51" s="61"/>
      <x:c r="AD51" s="61"/>
    </x:row>
  </x:sheetData>
  <x:mergeCells>
    <x:mergeCell ref="B8:I8"/>
    <x:mergeCell ref="K8:AD8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  <x:mergeCell ref="B50:AD51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conditionalFormatting sqref="E41:E49">
    <x:cfRule type="expression" dxfId="11" priority="12">
      <x:formula>$E41="Complete"</x:formula>
    </x:cfRule>
    <x:cfRule type="expression" dxfId="12" priority="13">
      <x:formula>$E41="In Progress"</x:formula>
    </x:cfRule>
    <x:cfRule type="expression" dxfId="13" priority="14">
      <x:formula>$E41="At Risk"</x:formula>
    </x:cfRule>
    <x:cfRule type="expression" dxfId="14" priority="15">
      <x:formula>$E41="Not Started"</x:formula>
    </x:cfRule>
  </x:conditionalFormatting>
  <x:conditionalFormatting sqref="F41:F49">
    <x:cfRule type="expression" dxfId="15" priority="16">
      <x:formula>$F41="P0"</x:formula>
    </x:cfRule>
    <x:cfRule type="expression" dxfId="16" priority="17">
      <x:formula>$F41="P1"</x:formula>
    </x:cfRule>
    <x:cfRule type="expression" dxfId="17" priority="18">
      <x:formula>$F41="P2"</x:formula>
    </x:cfRule>
  </x:conditionalFormatting>
  <x:conditionalFormatting sqref="K41:AD49">
    <x:cfRule type="expression" dxfId="18" priority="19">
      <x:formula>AND(K41=1,$E41="Complete")</x:formula>
    </x:cfRule>
    <x:cfRule type="expression" dxfId="19" priority="20">
      <x:formula>AND(K41=1,$E41="In Progress")</x:formula>
    </x:cfRule>
    <x:cfRule type="expression" dxfId="20" priority="21">
      <x:formula>AND(K41=1,$E41="At Risk")</x:formula>
    </x:cfRule>
    <x:cfRule type="expression" dxfId="21" priority="22">
      <x:formula>AND(K41=1,$E41="Not Started")</x:formula>
    </x:cfRule>
  </x:conditionalFormatting>
  <x:dataValidations count="8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"P0,P1,P2,P3"</x:formula1>
    </x:dataValidation>
    <x:dataValidation type="list" sqref="B41:B49">
      <x:formula1>"AdSense"</x:formula1>
    </x:dataValidation>
    <x:dataValidation type="list" sqref="D41:D49">
      <x:formula1>"Jonathan,Codex,Jonathan + Codex"</x:formula1>
    </x:dataValidation>
    <x:dataValidation type="list" sqref="E41:E49">
      <x:formula1>"Not Started,In Progress,At Risk,Complete"</x:formula1>
    </x:dataValidation>
    <x:dataValidation type="list" sqref="F41:F49">
      <x:formula1>"P0,P1,P2,P3"</x:formula1>
    </x:dataValidation>
  </x:dataValidations>
  <x:pageMargins left="0.7" right="0.7" top="0.75" bottom="0.75" header="0.3" footer="0.3"/>
</x:worksheet>
</file>